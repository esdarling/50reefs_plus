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Table S7" sheetId="7" r:id="rId11"/>
  </sheets>
  <definedNames/>
  <calcPr/>
</workbook>
</file>

<file path=xl/sharedStrings.xml><?xml version="1.0" encoding="utf-8"?>
<sst xmlns="http://schemas.openxmlformats.org/spreadsheetml/2006/main" count="2347" uniqueCount="843">
  <si>
    <t>Data source</t>
  </si>
  <si>
    <t>Number of observations</t>
  </si>
  <si>
    <t>Has life history data</t>
  </si>
  <si>
    <t>First observation year</t>
  </si>
  <si>
    <t>Last observation year</t>
  </si>
  <si>
    <t>Reference(s)</t>
  </si>
  <si>
    <t>Guest et al. 2018</t>
  </si>
  <si>
    <t>Yes</t>
  </si>
  <si>
    <r>
      <rPr>
        <rFont val="Arial"/>
        <color theme="1"/>
        <sz val="11.0"/>
      </rPr>
      <t xml:space="preserve">Guest J R et al 2018 A framework for identifying and characterising coral reef ‘oases’ against a backdrop of degradation </t>
    </r>
    <r>
      <rPr>
        <rFont val="Arial"/>
        <i/>
        <color theme="1"/>
        <sz val="11.0"/>
      </rPr>
      <t>J. Appl. Ecol.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55</t>
    </r>
    <r>
      <rPr>
        <rFont val="Arial"/>
        <color theme="1"/>
        <sz val="11.0"/>
      </rPr>
      <t xml:space="preserve"> 2865–75 (doi: 10.1111/1365-2664.13179)</t>
    </r>
  </si>
  <si>
    <t>Israel National Monitoring Data</t>
  </si>
  <si>
    <t>iui-eilat.ac.il/en/</t>
  </si>
  <si>
    <t>Indian Ocean long-term coral cover compilation</t>
  </si>
  <si>
    <t>No</t>
  </si>
  <si>
    <r>
      <rPr>
        <rFont val="Arial"/>
        <color theme="1"/>
        <sz val="11.0"/>
      </rPr>
      <t xml:space="preserve">Ateweberhan M, McClanahan T R, Graham N A J and Sheppard C R C 2011 Episodic heterogeneous decline and recovery of coral cover in the Indian Ocean </t>
    </r>
    <r>
      <rPr>
        <rFont val="Arial"/>
        <i/>
        <color theme="1"/>
        <sz val="11.0"/>
      </rPr>
      <t>Coral Reefs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30</t>
    </r>
    <r>
      <rPr>
        <rFont val="Arial"/>
        <color theme="1"/>
        <sz val="11.0"/>
      </rPr>
      <t xml:space="preserve"> 739–52</t>
    </r>
  </si>
  <si>
    <t>MERMAID</t>
  </si>
  <si>
    <t>Coral cover and life history summaries available in datasets with ‘Public Summary’ data sharing (explore.datamermaid.org)</t>
  </si>
  <si>
    <t>Monroe et al. 2018</t>
  </si>
  <si>
    <r>
      <rPr>
        <rFont val="Arial"/>
        <color theme="1"/>
        <sz val="11.0"/>
      </rPr>
      <t xml:space="preserve">Monroe A A, Ziegler M, Roik A, Röthig T, Hardenstine R S, Emms M A, Jensen T, Voolstra C R and Berumen M L 2018 In situ observations of coral bleaching in the central Saudi Arabian Red Sea during the 2015/2016 global coral bleaching event </t>
    </r>
    <r>
      <rPr>
        <rFont val="Arial"/>
        <i/>
        <color theme="1"/>
        <sz val="11.0"/>
      </rPr>
      <t>PLoS One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13</t>
    </r>
    <r>
      <rPr>
        <rFont val="Arial"/>
        <color theme="1"/>
        <sz val="11.0"/>
      </rPr>
      <t xml:space="preserve"> e0195814 (doi: 10.1371/journal.pone.0195814)</t>
    </r>
  </si>
  <si>
    <t>Darling et al. 2019</t>
  </si>
  <si>
    <r>
      <rPr>
        <rFont val="Arial"/>
        <color theme="1"/>
        <sz val="11.0"/>
      </rPr>
      <t xml:space="preserve">Darling E S et al 2019 Social–environmental drivers inform strategic management of coral reefs in the Anthropocene </t>
    </r>
    <r>
      <rPr>
        <rFont val="Arial"/>
        <i/>
        <color theme="1"/>
        <sz val="11.0"/>
      </rPr>
      <t>Nat. Ecol. Evol.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1341–50 (doi: 10.1038/s41559-019-0953-8)</t>
    </r>
  </si>
  <si>
    <t>USVI TCRMP long term monitoring data </t>
  </si>
  <si>
    <t>sites.google.com/site/usvitcrmp/</t>
  </si>
  <si>
    <t>WCS  long-term bleaching survey data</t>
  </si>
  <si>
    <r>
      <rPr>
        <rFont val="Arial"/>
        <color rgb="FF000000"/>
        <sz val="11.0"/>
      </rPr>
      <t xml:space="preserve">McClanahan T R, Darling E S, Maina J M, Muthiga N A, D’Agata S, Jupiter S D, Arthur R, Wilson S K, Mangubhai S, Nand Y and Ussi A M 2019 Temperature patterns and mechanisms influencing coral bleaching during the 2016 El Niño </t>
    </r>
    <r>
      <rPr>
        <rFont val="Arial"/>
        <i/>
        <color rgb="FF000000"/>
        <sz val="11.0"/>
      </rPr>
      <t xml:space="preserve">Nat. Clim. Change </t>
    </r>
    <r>
      <rPr>
        <rFont val="Arial"/>
        <b/>
        <color rgb="FF000000"/>
        <sz val="11.0"/>
      </rPr>
      <t>9</t>
    </r>
    <r>
      <rPr>
        <rFont val="Arial"/>
        <color rgb="FF000000"/>
        <sz val="11.0"/>
      </rPr>
      <t xml:space="preserve"> 845–51
McClanahan T R, Ateweberhan M, Darling E S, Graham N A J and Muthiga N A 2014 Biogeography and change among regional coral communities across the Western Indian Ocean </t>
    </r>
    <r>
      <rPr>
        <rFont val="Arial"/>
        <i/>
        <color rgb="FF000000"/>
        <sz val="11.0"/>
      </rPr>
      <t>PLoS One</t>
    </r>
    <r>
      <rPr>
        <rFont val="Arial"/>
        <color rgb="FF000000"/>
        <sz val="11.0"/>
      </rPr>
      <t xml:space="preserve"> </t>
    </r>
    <r>
      <rPr>
        <rFont val="Arial"/>
        <b/>
        <color rgb="FF000000"/>
        <sz val="11.0"/>
      </rPr>
      <t xml:space="preserve">9 </t>
    </r>
    <r>
      <rPr>
        <rFont val="Arial"/>
        <color rgb="FF000000"/>
        <sz val="11.0"/>
      </rPr>
      <t>e93385</t>
    </r>
  </si>
  <si>
    <t>WCS WIO Long term benthic survey data</t>
  </si>
  <si>
    <r>
      <rPr>
        <rFont val="Arial"/>
        <color theme="1"/>
        <sz val="11.0"/>
      </rPr>
      <t xml:space="preserve">McClanahan T R and Azali M K 2021 Environmental variability and threshold model predictions for coral reefs </t>
    </r>
    <r>
      <rPr>
        <rFont val="Arial"/>
        <i/>
        <color theme="1"/>
        <sz val="11.0"/>
      </rPr>
      <t>Front. Mar. Sci.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8</t>
    </r>
  </si>
  <si>
    <t>Woesik &amp; Kratochwill bleaching</t>
  </si>
  <si>
    <r>
      <rPr>
        <rFont val="Arial"/>
        <color theme="1"/>
        <sz val="11.0"/>
      </rPr>
      <t xml:space="preserve">van Woesik R and Kratochwill C 2022 A global coral-bleaching database, 1980–2020 </t>
    </r>
    <r>
      <rPr>
        <rFont val="Arial"/>
        <i/>
        <color theme="1"/>
        <sz val="11.0"/>
      </rPr>
      <t>Sci. Data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20 (doi: 10.1038/s41597-022-01121-y)</t>
    </r>
  </si>
  <si>
    <t>Woesik &amp; Kratochwill cover</t>
  </si>
  <si>
    <r>
      <rPr>
        <rFont val="Arial"/>
        <color theme="1"/>
        <sz val="11.0"/>
      </rPr>
      <t xml:space="preserve">van Woesik R and Kratochwill C 2024 A global database on coral recovery following marine heatwaves </t>
    </r>
    <r>
      <rPr>
        <rFont val="Arial"/>
        <i/>
        <color theme="1"/>
        <sz val="11.0"/>
      </rPr>
      <t>Sci. Data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11</t>
    </r>
    <r>
      <rPr>
        <rFont val="Arial"/>
        <color theme="1"/>
        <sz val="11.0"/>
      </rPr>
      <t xml:space="preserve"> 367 (doi: 10.1038/s41597-024-03221-3)</t>
    </r>
  </si>
  <si>
    <t>Taxon</t>
  </si>
  <si>
    <t>Taxonomic level</t>
  </si>
  <si>
    <t>Cover assigned to</t>
  </si>
  <si>
    <t>Competitive life history, proportion</t>
  </si>
  <si>
    <t>Stress tolerant life history, proportion</t>
  </si>
  <si>
    <t>Weedy life history, proportion</t>
  </si>
  <si>
    <t>Acanthastrea</t>
  </si>
  <si>
    <t>genus</t>
  </si>
  <si>
    <t>Stress tolerant</t>
  </si>
  <si>
    <t>Acanthastrea echinata</t>
  </si>
  <si>
    <t>species</t>
  </si>
  <si>
    <t>Acanthastrea hemprichii</t>
  </si>
  <si>
    <t>Acanthastrea pachysepta</t>
  </si>
  <si>
    <t>Acropora</t>
  </si>
  <si>
    <t>Competitive</t>
  </si>
  <si>
    <t>Acropora aculeus</t>
  </si>
  <si>
    <t>Acropora acuminata</t>
  </si>
  <si>
    <t>Acropora arabensis</t>
  </si>
  <si>
    <t>Acropora abrolhosensis</t>
  </si>
  <si>
    <t>Acropora abrotanoides</t>
  </si>
  <si>
    <t>Acropora anthocercis</t>
  </si>
  <si>
    <t>Acropora aspera</t>
  </si>
  <si>
    <t>Acropora austera</t>
  </si>
  <si>
    <t>Acropora carduus</t>
  </si>
  <si>
    <t>Acropora caroliniana</t>
  </si>
  <si>
    <t>Acropora cerealis</t>
  </si>
  <si>
    <t>Acropora cervicornis</t>
  </si>
  <si>
    <t>Acropora chesterfieldensis</t>
  </si>
  <si>
    <t>Acropora clathrata</t>
  </si>
  <si>
    <t>Acropora cytherea</t>
  </si>
  <si>
    <t>Acropora digitifera</t>
  </si>
  <si>
    <t>Acropora divaricata</t>
  </si>
  <si>
    <t>Acropora donei</t>
  </si>
  <si>
    <t>Acropora downingi</t>
  </si>
  <si>
    <t>Acropora echinata</t>
  </si>
  <si>
    <t>Acropora elseyi</t>
  </si>
  <si>
    <t>Acropora eurystoma</t>
  </si>
  <si>
    <t>Acropora florida</t>
  </si>
  <si>
    <t>Acropora gemmifera</t>
  </si>
  <si>
    <t>Acropora glauca</t>
  </si>
  <si>
    <t>Acropora globiceps</t>
  </si>
  <si>
    <t>Acropora grandis</t>
  </si>
  <si>
    <t>Acropora granulosa</t>
  </si>
  <si>
    <t>Acropora hemprichii</t>
  </si>
  <si>
    <t>Acropora horrida</t>
  </si>
  <si>
    <t>Acropora humilis</t>
  </si>
  <si>
    <t>Acropora hyacinthus</t>
  </si>
  <si>
    <t>Acropora intermedia</t>
  </si>
  <si>
    <t>Acropora japonica</t>
  </si>
  <si>
    <t>Acropora kimbeensis</t>
  </si>
  <si>
    <t>Acropora latistella</t>
  </si>
  <si>
    <t>Acropora listeri</t>
  </si>
  <si>
    <t>Acropora lokani</t>
  </si>
  <si>
    <t>Acropora longicyathus</t>
  </si>
  <si>
    <t>Acropora loripes</t>
  </si>
  <si>
    <t>Acropora lutkeni</t>
  </si>
  <si>
    <t>Acropora microclados</t>
  </si>
  <si>
    <t>Acropora microphthalma</t>
  </si>
  <si>
    <t>Acropora millepora</t>
  </si>
  <si>
    <t>Acropora monticulosa</t>
  </si>
  <si>
    <t>Acropora muricata</t>
  </si>
  <si>
    <t>Acropora nana</t>
  </si>
  <si>
    <t>Acropora nasuta</t>
  </si>
  <si>
    <t>Acropora natalensis</t>
  </si>
  <si>
    <t>Acropora palmata</t>
  </si>
  <si>
    <t>Acropora palmerae</t>
  </si>
  <si>
    <t>Acropora paniculata</t>
  </si>
  <si>
    <t>Acropora papillare</t>
  </si>
  <si>
    <t>Acropora pectinata</t>
  </si>
  <si>
    <t>Acropora pharaonis</t>
  </si>
  <si>
    <t>Acropora polystoma</t>
  </si>
  <si>
    <t>Acropora prolifera</t>
  </si>
  <si>
    <t>Acropora pulchra</t>
  </si>
  <si>
    <t>Acropora retusa</t>
  </si>
  <si>
    <t>Acropora robusta</t>
  </si>
  <si>
    <t>Acropora roseni</t>
  </si>
  <si>
    <t>Acropora rudis</t>
  </si>
  <si>
    <t>Acropora samoensis</t>
  </si>
  <si>
    <t>Acropora sarmentosa</t>
  </si>
  <si>
    <t>Acropora secale</t>
  </si>
  <si>
    <t>Acropora selago</t>
  </si>
  <si>
    <t>Acropora solitaryensis</t>
  </si>
  <si>
    <t>Acropora spathulata</t>
  </si>
  <si>
    <t>Acropora speciosa</t>
  </si>
  <si>
    <t>Acropora spicifera</t>
  </si>
  <si>
    <t>Acropora squarrosa</t>
  </si>
  <si>
    <t>Acropora striata</t>
  </si>
  <si>
    <t>Acropora subglabra</t>
  </si>
  <si>
    <t>Acropora subulata</t>
  </si>
  <si>
    <t>Acropora tenuis</t>
  </si>
  <si>
    <t>Acropora tortuosa</t>
  </si>
  <si>
    <t>Acropora valenciennesi</t>
  </si>
  <si>
    <t>Acropora valida</t>
  </si>
  <si>
    <t>Acropora vaughani</t>
  </si>
  <si>
    <t>Acropora verweyi</t>
  </si>
  <si>
    <t>Acropora willisae</t>
  </si>
  <si>
    <t>Acropora yongei</t>
  </si>
  <si>
    <t>Agaricia</t>
  </si>
  <si>
    <t>Weedy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</si>
  <si>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</si>
  <si>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</si>
  <si>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</si>
  <si>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</si>
  <si>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</si>
  <si>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</si>
  <si>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</si>
  <si>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Alveopora</t>
  </si>
  <si>
    <t>Stress tolerant, Weedy</t>
  </si>
  <si>
    <t>Alveopora allingi</t>
  </si>
  <si>
    <t>Alveopora daedalea</t>
  </si>
  <si>
    <t>Alveopora fenestrata</t>
  </si>
  <si>
    <t>Alveopora tizardi</t>
  </si>
  <si>
    <t>Astraeosmilia</t>
  </si>
  <si>
    <t>Astraeosmilia maxima</t>
  </si>
  <si>
    <t>Astrea</t>
  </si>
  <si>
    <t>Astrea annuligera</t>
  </si>
  <si>
    <t>Astrea curta</t>
  </si>
  <si>
    <t>Astreopora</t>
  </si>
  <si>
    <t>Astreopora cucullata</t>
  </si>
  <si>
    <t>Astreopora gracilis</t>
  </si>
  <si>
    <t>Astreopora incrustans</t>
  </si>
  <si>
    <t>Astreopora listeri</t>
  </si>
  <si>
    <t>Astreopora myriophthalma</t>
  </si>
  <si>
    <t>Astreopora ocellata</t>
  </si>
  <si>
    <t>Astreopora randalli</t>
  </si>
  <si>
    <t>Astreopora scabra</t>
  </si>
  <si>
    <t>Astrocoeniidae</t>
  </si>
  <si>
    <t>family</t>
  </si>
  <si>
    <t>Australogyra</t>
  </si>
  <si>
    <t>Australogyra zelli</t>
  </si>
  <si>
    <t>Australophyllia</t>
  </si>
  <si>
    <t>Bernardpora</t>
  </si>
  <si>
    <t>Bernardpora stutchburyi</t>
  </si>
  <si>
    <t>Blastomussa</t>
  </si>
  <si>
    <t>Blastomussa wellsi</t>
  </si>
  <si>
    <t>Catalaphyllia</t>
  </si>
  <si>
    <t>Caulastraea</t>
  </si>
  <si>
    <t>Caulastraea furcata</t>
  </si>
  <si>
    <t>Coelastrea</t>
  </si>
  <si>
    <t>Coelastrea aspera</t>
  </si>
  <si>
    <t>Coelastrea palauensis</t>
  </si>
  <si>
    <t>Coeloseris</t>
  </si>
  <si>
    <t>Coeloseris mayeri</t>
  </si>
  <si>
    <t>Colpophyllia</t>
  </si>
  <si>
    <t>Colpophyllia natans</t>
  </si>
  <si>
    <t>Coscinaraea</t>
  </si>
  <si>
    <t>Coscinaraea monile</t>
  </si>
  <si>
    <t>Coscinaraeidae</t>
  </si>
  <si>
    <t>Craterastrea</t>
  </si>
  <si>
    <t>Ctenactis</t>
  </si>
  <si>
    <t>Ctenactis albitentaculata</t>
  </si>
  <si>
    <t>Culicia tenella</t>
  </si>
  <si>
    <t>Cycloseris</t>
  </si>
  <si>
    <t>Cycloseris mokai</t>
  </si>
  <si>
    <t>Cynarina</t>
  </si>
  <si>
    <t>Cyphastrea</t>
  </si>
  <si>
    <t>Cyphastrea chalcidicum</t>
  </si>
  <si>
    <t>Cyphastrea microphthalma</t>
  </si>
  <si>
    <t>Cyphastrea ocellina</t>
  </si>
  <si>
    <t>Cyphastrea serailia</t>
  </si>
  <si>
    <t>Danafungia</t>
  </si>
  <si>
    <t>Danafungia horrida</t>
  </si>
  <si>
    <t>Dendrogyra</t>
  </si>
  <si>
    <t>Dendrogyra cylindrus</t>
  </si>
  <si>
    <t>Dendrophylliidae</t>
  </si>
  <si>
    <t>Dichocoenia</t>
  </si>
  <si>
    <t>Dichocoenia stellaris</t>
  </si>
  <si>
    <t>Dichocoenia stokesii</t>
  </si>
  <si>
    <t>Diploastrea</t>
  </si>
  <si>
    <t>Diploastrea heliopora</t>
  </si>
  <si>
    <t>Diploastreidae</t>
  </si>
  <si>
    <t>Diploria</t>
  </si>
  <si>
    <t>Diploria labyrinthiformis</t>
  </si>
  <si>
    <t>Dipsastraea</t>
  </si>
  <si>
    <t>Dipsastraea amicorum</t>
  </si>
  <si>
    <t>Dipsastraea danai</t>
  </si>
  <si>
    <t>Dipsastraea faviaformis</t>
  </si>
  <si>
    <t>Dipsastraea favus</t>
  </si>
  <si>
    <t>Dipsastraea laxa</t>
  </si>
  <si>
    <t>Dipsastraea lizardensis</t>
  </si>
  <si>
    <t>Dipsastraea matthaii</t>
  </si>
  <si>
    <t>Dipsastraea pallida</t>
  </si>
  <si>
    <t>Dipsastraea rotumana</t>
  </si>
  <si>
    <t>Dipsastraea speciosa</t>
  </si>
  <si>
    <t>Dipsastraea veroni</t>
  </si>
  <si>
    <t>Dipsastraea vietnamensis</t>
  </si>
  <si>
    <t>Echinophyllia</t>
  </si>
  <si>
    <t>Echinophyllia aspera</t>
  </si>
  <si>
    <t>Echinophyllia echinoporoides</t>
  </si>
  <si>
    <t>Echinophyllia orpheensis</t>
  </si>
  <si>
    <t>Echinopora</t>
  </si>
  <si>
    <t>Echinopora gemmacea</t>
  </si>
  <si>
    <t>Euphyllia</t>
  </si>
  <si>
    <t>Euphyllia glabrescens</t>
  </si>
  <si>
    <t>Euphyllidae</t>
  </si>
  <si>
    <t>Eusmilia</t>
  </si>
  <si>
    <t>Eusmilia fastigiata</t>
  </si>
  <si>
    <t>Favia</t>
  </si>
  <si>
    <t>Favia fragum</t>
  </si>
  <si>
    <t>Faviidae</t>
  </si>
  <si>
    <t>Favites</t>
  </si>
  <si>
    <t>Favites abdita</t>
  </si>
  <si>
    <t>Favites acuticollis</t>
  </si>
  <si>
    <t>Favites chinensis</t>
  </si>
  <si>
    <t>Favites complanata</t>
  </si>
  <si>
    <t>Favites flexuosa</t>
  </si>
  <si>
    <t>Favites halicora</t>
  </si>
  <si>
    <t>Favites magnistellata</t>
  </si>
  <si>
    <t>Favites micropentagonus</t>
  </si>
  <si>
    <t>Favites pentagona</t>
  </si>
  <si>
    <t>Favites rotundata</t>
  </si>
  <si>
    <t>Favites valenciennesi</t>
  </si>
  <si>
    <t>Favites vasta</t>
  </si>
  <si>
    <t>Fimbriaphyllia</t>
  </si>
  <si>
    <t>Fimbriaphyllia ancora</t>
  </si>
  <si>
    <t>Fimbriaphyllia divisa</t>
  </si>
  <si>
    <t>Fungia</t>
  </si>
  <si>
    <t>Fungia fungites</t>
  </si>
  <si>
    <t>Fungiidae</t>
  </si>
  <si>
    <t>Galaxea</t>
  </si>
  <si>
    <t>Galaxea astreata</t>
  </si>
  <si>
    <t>Galaxea fascicularis</t>
  </si>
  <si>
    <t>Galaxea horrescens</t>
  </si>
  <si>
    <t>Gardineroseris</t>
  </si>
  <si>
    <t>Gardineroseris planulata</t>
  </si>
  <si>
    <t>Goniastrea</t>
  </si>
  <si>
    <t>Goniastrea edwardsi</t>
  </si>
  <si>
    <t>Goniastrea favulus</t>
  </si>
  <si>
    <t>Goniastrea minuta</t>
  </si>
  <si>
    <t>Goniastrea pectinata</t>
  </si>
  <si>
    <t>Goniastrea retiformis</t>
  </si>
  <si>
    <t>Goniastrea stelligera</t>
  </si>
  <si>
    <t>Goniopora</t>
  </si>
  <si>
    <t>Goniopora columna</t>
  </si>
  <si>
    <t>Goniopora djiboutiensis</t>
  </si>
  <si>
    <t>Goniopora fruticosa</t>
  </si>
  <si>
    <t>Goniopora lobata</t>
  </si>
  <si>
    <t>Goniopora pedunculata</t>
  </si>
  <si>
    <t>Goniopora somaliensis</t>
  </si>
  <si>
    <t>Goniopora tenuidens</t>
  </si>
  <si>
    <t>Halomitra</t>
  </si>
  <si>
    <t>Halomitra pileus</t>
  </si>
  <si>
    <t>Heliofungia</t>
  </si>
  <si>
    <t>Heliofungia actiniformis</t>
  </si>
  <si>
    <t>Herpolitha</t>
  </si>
  <si>
    <t>Herpolitha limax</t>
  </si>
  <si>
    <t>Heterocyathus</t>
  </si>
  <si>
    <t>Homophyllia</t>
  </si>
  <si>
    <t>Homophyllia bowerbanki</t>
  </si>
  <si>
    <t>Hydnophora</t>
  </si>
  <si>
    <t>Competitive, Stress tolerant</t>
  </si>
  <si>
    <t>Hydnophora exesa</t>
  </si>
  <si>
    <t>Hydnophora microconos</t>
  </si>
  <si>
    <t>Hydnophora pilosa</t>
  </si>
  <si>
    <t>Hydnophora rigida</t>
  </si>
  <si>
    <t>Isophyllia</t>
  </si>
  <si>
    <t>Isophyllia rigida</t>
  </si>
  <si>
    <t>Isophyllia sinuosa</t>
  </si>
  <si>
    <t>Isopora</t>
  </si>
  <si>
    <t>Isopora crateriformis</t>
  </si>
  <si>
    <t>Isopora cuneata</t>
  </si>
  <si>
    <t>Isopora elizabethensis</t>
  </si>
  <si>
    <t>Isopora palifera</t>
  </si>
  <si>
    <t>Leptastrea</t>
  </si>
  <si>
    <t>Leptastrea bottae</t>
  </si>
  <si>
    <t>Leptastrea purpurea</t>
  </si>
  <si>
    <t>Leptastrea transversa</t>
  </si>
  <si>
    <t>Leptoria</t>
  </si>
  <si>
    <t>Leptoria irregularis</t>
  </si>
  <si>
    <t>Leptoria phrygia</t>
  </si>
  <si>
    <t>Leptoseris</t>
  </si>
  <si>
    <t>Leptoseris explanata</t>
  </si>
  <si>
    <t>Leptoseris foliosa</t>
  </si>
  <si>
    <t>Leptoseris hawaiiensis</t>
  </si>
  <si>
    <t>Leptoseris incrustans</t>
  </si>
  <si>
    <t>Leptoseris mycetoseroides</t>
  </si>
  <si>
    <t>Leptoseris papyracea</t>
  </si>
  <si>
    <t>Leptoseris scabra</t>
  </si>
  <si>
    <t>Leptoseris solida</t>
  </si>
  <si>
    <t>Leptoseris yabei</t>
  </si>
  <si>
    <t>Lithophyllon</t>
  </si>
  <si>
    <t>Lithophyllon concinna</t>
  </si>
  <si>
    <t>Lithophyllon repanda</t>
  </si>
  <si>
    <t>Lithophyllon scabra</t>
  </si>
  <si>
    <t>Lithophyllon undulatum</t>
  </si>
  <si>
    <t>Lobactis</t>
  </si>
  <si>
    <t>Lobactis scutaria</t>
  </si>
  <si>
    <t>Lobophyllia</t>
  </si>
  <si>
    <t>Lobophyllia agaricia</t>
  </si>
  <si>
    <t>Lobophyllia corymbosa</t>
  </si>
  <si>
    <t>Lobophyllia hataii</t>
  </si>
  <si>
    <t>Lobophyllia hemprichii</t>
  </si>
  <si>
    <t>Lobophyllia radians</t>
  </si>
  <si>
    <t>Lobophyllia recta</t>
  </si>
  <si>
    <t>Lobophyllia robusta</t>
  </si>
  <si>
    <t>Lobophyllia vitiensis</t>
  </si>
  <si>
    <t>Lobophylliidae</t>
  </si>
  <si>
    <t>Madracis</t>
  </si>
  <si>
    <t>Madracis auretenra</t>
  </si>
  <si>
    <t>Madracis carmabi</t>
  </si>
  <si>
    <t>Madracis decactis</t>
  </si>
  <si>
    <t>Madracis formosa</t>
  </si>
  <si>
    <t>Madracis kirbyi</t>
  </si>
  <si>
    <t>Madracis myriaster</t>
  </si>
  <si>
    <t>Madracis pharensis</t>
  </si>
  <si>
    <t>Madracis senaria</t>
  </si>
  <si>
    <t>Manicina</t>
  </si>
  <si>
    <t>Manicina areolata</t>
  </si>
  <si>
    <t>Meandrina</t>
  </si>
  <si>
    <t>Meandrina jacksoni</t>
  </si>
  <si>
    <t>Meandrina meandrites</t>
  </si>
  <si>
    <t>Meandrinidae</t>
  </si>
  <si>
    <t>Merulina</t>
  </si>
  <si>
    <t>Merulina ampliata</t>
  </si>
  <si>
    <t>Merulinidae</t>
  </si>
  <si>
    <t>Micromussa</t>
  </si>
  <si>
    <t>Micromussa amakusensis</t>
  </si>
  <si>
    <t>Micromussa lordhowensis</t>
  </si>
  <si>
    <t>Micromussa regularis</t>
  </si>
  <si>
    <t>Millepora</t>
  </si>
  <si>
    <t>Millepora alcicornis</t>
  </si>
  <si>
    <t>Millepora complanata</t>
  </si>
  <si>
    <t>Millepora squarrosa</t>
  </si>
  <si>
    <t>Millepora striata</t>
  </si>
  <si>
    <t>Milleporidae</t>
  </si>
  <si>
    <t>Montastraea</t>
  </si>
  <si>
    <t>Montastraea cavernosa</t>
  </si>
  <si>
    <t>Montastraeidae</t>
  </si>
  <si>
    <t>Montigyra</t>
  </si>
  <si>
    <t>Montipora</t>
  </si>
  <si>
    <t>Montipora aequituberculata</t>
  </si>
  <si>
    <t>Montipora caliculata</t>
  </si>
  <si>
    <t>Montipora capitata</t>
  </si>
  <si>
    <t>Montipora danae</t>
  </si>
  <si>
    <t>Montipora digitata</t>
  </si>
  <si>
    <t>Montipora efflorescens</t>
  </si>
  <si>
    <t>Montipora flabellata</t>
  </si>
  <si>
    <t>Montipora floweri</t>
  </si>
  <si>
    <t>Montipora foliosa</t>
  </si>
  <si>
    <t>Montipora grisea</t>
  </si>
  <si>
    <t>Montipora hispida</t>
  </si>
  <si>
    <t>Montipora incrassata</t>
  </si>
  <si>
    <t>Montipora maeandrina</t>
  </si>
  <si>
    <t>Montipora millepora</t>
  </si>
  <si>
    <t>Montipora mollis</t>
  </si>
  <si>
    <t>Montipora monasteriata</t>
  </si>
  <si>
    <t>Montipora patula</t>
  </si>
  <si>
    <t>Montipora peltiformis</t>
  </si>
  <si>
    <t>Montipora samarensis</t>
  </si>
  <si>
    <t>Montipora spongodes</t>
  </si>
  <si>
    <t>Montipora spumosa</t>
  </si>
  <si>
    <t>Montipora stellata</t>
  </si>
  <si>
    <t>Montipora tuberculosa</t>
  </si>
  <si>
    <t>Montipora turgescens</t>
  </si>
  <si>
    <t>Montipora undata</t>
  </si>
  <si>
    <t>Montipora venosa</t>
  </si>
  <si>
    <t>Montipora verrucosa</t>
  </si>
  <si>
    <t>Moseleya</t>
  </si>
  <si>
    <t>Mussidae</t>
  </si>
  <si>
    <t>Mycedium</t>
  </si>
  <si>
    <t>Mycedium elephantotus</t>
  </si>
  <si>
    <t>Mycetophyllia</t>
  </si>
  <si>
    <t>Mycetophyllia aliciae</t>
  </si>
  <si>
    <t>Mycetophyllia danaana</t>
  </si>
  <si>
    <t>Mycetophyllia ferox</t>
  </si>
  <si>
    <t>Mycetophyllia lamarckiana</t>
  </si>
  <si>
    <t>Nemenzophyllia</t>
  </si>
  <si>
    <t>Oculinidae</t>
  </si>
  <si>
    <t>Orbicella</t>
  </si>
  <si>
    <t>Orbicella annularis</t>
  </si>
  <si>
    <t>Orbicella faveolata</t>
  </si>
  <si>
    <t>Orbicella franksi</t>
  </si>
  <si>
    <t>Oulophyllia</t>
  </si>
  <si>
    <t>Oulophyllia crispa</t>
  </si>
  <si>
    <t>Oxypora</t>
  </si>
  <si>
    <t>Oxypora echinata</t>
  </si>
  <si>
    <t>Pachyseris</t>
  </si>
  <si>
    <t>Pachyseris rugosa</t>
  </si>
  <si>
    <t>Pachyseris speciosa</t>
  </si>
  <si>
    <t>Palauastrea</t>
  </si>
  <si>
    <t>Paragoniastrea</t>
  </si>
  <si>
    <t>Paragoniastrea australensis</t>
  </si>
  <si>
    <t>Paragoniastrea russelli</t>
  </si>
  <si>
    <t>Paramontastraea</t>
  </si>
  <si>
    <t>Paramontastraea peresi</t>
  </si>
  <si>
    <t>Paramontastraea serageldini</t>
  </si>
  <si>
    <t>Pavona</t>
  </si>
  <si>
    <t>Pavona clavus</t>
  </si>
  <si>
    <t>Pavona decussata</t>
  </si>
  <si>
    <t>Pavona gigantea</t>
  </si>
  <si>
    <t>Pavona varians</t>
  </si>
  <si>
    <t>Physogyra</t>
  </si>
  <si>
    <t>Physogyra lichtensteini</t>
  </si>
  <si>
    <t>Platygyra</t>
  </si>
  <si>
    <t>Platygyra contorta</t>
  </si>
  <si>
    <t>Platygyra crosslandi</t>
  </si>
  <si>
    <t>Platygyra daedalea</t>
  </si>
  <si>
    <t>Platygyra lamellina</t>
  </si>
  <si>
    <t>Platygyra pini</t>
  </si>
  <si>
    <t>Platygyra ryukyuensis</t>
  </si>
  <si>
    <t>Platygyra sinensis</t>
  </si>
  <si>
    <t>Platygyra verweyi</t>
  </si>
  <si>
    <t>Platygyra yaeyamaensis</t>
  </si>
  <si>
    <t>Plerogyra</t>
  </si>
  <si>
    <t>Plerogyra sinuosa</t>
  </si>
  <si>
    <t>Plesiastrea</t>
  </si>
  <si>
    <t>Plesiastrea versipora</t>
  </si>
  <si>
    <t>Pleuractis</t>
  </si>
  <si>
    <t>Pleuractis granulosa</t>
  </si>
  <si>
    <t>Pleuractis paumotensis</t>
  </si>
  <si>
    <t>Pocillopora</t>
  </si>
  <si>
    <t>Competitive, Weedy</t>
  </si>
  <si>
    <t>Pocillopora damicornis</t>
  </si>
  <si>
    <t>Pocillopora elegans</t>
  </si>
  <si>
    <t>Pocillopora grandis</t>
  </si>
  <si>
    <t>Pocillopora meandrina</t>
  </si>
  <si>
    <t>Pocillopora verrucosa</t>
  </si>
  <si>
    <t>Pocilloporidae</t>
  </si>
  <si>
    <t>Porites</t>
  </si>
  <si>
    <t>Competitive, Stress tolerant, Weedy</t>
  </si>
  <si>
    <t>Porites massive</t>
  </si>
  <si>
    <t>genus_growth_form</t>
  </si>
  <si>
    <t>Porites branching</t>
  </si>
  <si>
    <t>Porites annae</t>
  </si>
  <si>
    <t>Porites arnaudi</t>
  </si>
  <si>
    <t>Porites astreoides</t>
  </si>
  <si>
    <t>Porites attenuata</t>
  </si>
  <si>
    <t>Porites australiensis</t>
  </si>
  <si>
    <t>Porites branneri</t>
  </si>
  <si>
    <t>Porites brighami</t>
  </si>
  <si>
    <t>Porites colonensis</t>
  </si>
  <si>
    <t>Porites compressa</t>
  </si>
  <si>
    <t>Porites cylindrica</t>
  </si>
  <si>
    <t>Porites divaricata</t>
  </si>
  <si>
    <t>Porites evermanni</t>
  </si>
  <si>
    <t>Porites furcata</t>
  </si>
  <si>
    <t>Porites gabonensis</t>
  </si>
  <si>
    <t>Porites harrisoni</t>
  </si>
  <si>
    <t>Porites heronensis</t>
  </si>
  <si>
    <t>Porites lichen</t>
  </si>
  <si>
    <t>Porites lobata</t>
  </si>
  <si>
    <t>Porites lutea</t>
  </si>
  <si>
    <t>Porites mayeri</t>
  </si>
  <si>
    <t>Porites monticulosa</t>
  </si>
  <si>
    <t>Porites murrayensis</t>
  </si>
  <si>
    <t>Porites myrmidonensis</t>
  </si>
  <si>
    <t>Porites nigrescens</t>
  </si>
  <si>
    <t>Porites nodifera</t>
  </si>
  <si>
    <t>Porites porites</t>
  </si>
  <si>
    <t>Porites profundus</t>
  </si>
  <si>
    <t>Porites randalli</t>
  </si>
  <si>
    <t>Porites rus</t>
  </si>
  <si>
    <t>Porites silimaniana</t>
  </si>
  <si>
    <t>Porites stephensoni</t>
  </si>
  <si>
    <t>Porites superfusa</t>
  </si>
  <si>
    <t>Porites vaughani</t>
  </si>
  <si>
    <t>Poritidae</t>
  </si>
  <si>
    <t>Psammocora</t>
  </si>
  <si>
    <t>Psammocora columna</t>
  </si>
  <si>
    <t>Psammocora contigua</t>
  </si>
  <si>
    <t>Psammocora exesa</t>
  </si>
  <si>
    <t>Psammocora profundacella</t>
  </si>
  <si>
    <t>Psammocoridae</t>
  </si>
  <si>
    <t>Pseudodiploria</t>
  </si>
  <si>
    <t>Pseudodiploria clivosa</t>
  </si>
  <si>
    <t>Pseudodiploria strigosa</t>
  </si>
  <si>
    <t>Rhizangiidae</t>
  </si>
  <si>
    <t>Seriatopora</t>
  </si>
  <si>
    <t>Seriatopora caliendrum</t>
  </si>
  <si>
    <t>Seriatopora hystrix</t>
  </si>
  <si>
    <t>Seriatopora stellata</t>
  </si>
  <si>
    <t>Siderastrea</t>
  </si>
  <si>
    <t>Siderastrea radians</t>
  </si>
  <si>
    <t>Siderastrea savignyana</t>
  </si>
  <si>
    <t>Siderastrea siderea</t>
  </si>
  <si>
    <t>Siderastrea stellata</t>
  </si>
  <si>
    <t>Stephanocoenia intersepta</t>
  </si>
  <si>
    <t>Stylocoeniella</t>
  </si>
  <si>
    <t>Stylocoeniella armata</t>
  </si>
  <si>
    <t>Stylocoeniella guentheri</t>
  </si>
  <si>
    <t>Stylophora</t>
  </si>
  <si>
    <t>Stylophora pistillata</t>
  </si>
  <si>
    <t>Symphyllia</t>
  </si>
  <si>
    <t>Synarea</t>
  </si>
  <si>
    <t>Turbinaria-coral</t>
  </si>
  <si>
    <t>Turbinaria frondens</t>
  </si>
  <si>
    <t>Turbinaria mesenterina</t>
  </si>
  <si>
    <t>Turbinaria reniformis</t>
  </si>
  <si>
    <t>Variable</t>
  </si>
  <si>
    <t>Description</t>
  </si>
  <si>
    <t>Units</t>
  </si>
  <si>
    <t>Temporal resolution</t>
  </si>
  <si>
    <t>Temporal extent</t>
  </si>
  <si>
    <t>Spatial resolution</t>
  </si>
  <si>
    <t>Source</t>
  </si>
  <si>
    <t>Mean SST</t>
  </si>
  <si>
    <t>Average sea surface temperature (SST) over a specified period.</t>
  </si>
  <si>
    <t>°C</t>
  </si>
  <si>
    <t>Annual</t>
  </si>
  <si>
    <t>1985-2024</t>
  </si>
  <si>
    <t>5 km</t>
  </si>
  <si>
    <t>NOAA National Centers for Environmental Information (NCEI) Extended Reconstructed Sea Surface Temperature (ERSST) dataset https://www.ncei.noaa.gov/products/extended-reconstructed-sst</t>
  </si>
  <si>
    <t>Median SST</t>
  </si>
  <si>
    <t>Median value of sea surface temperature over a specified period.</t>
  </si>
  <si>
    <t>Standard Deviation SST</t>
  </si>
  <si>
    <t>Measure of variability in sea surface temperature over a specified period.</t>
  </si>
  <si>
    <t>Kurtosis SST</t>
  </si>
  <si>
    <t>Measure of the "tailedness" of the SST distribution over a specified period.</t>
  </si>
  <si>
    <t>N/A</t>
  </si>
  <si>
    <t>Skewness SST</t>
  </si>
  <si>
    <t>Measure of the asymmetry of the SST distribution over a specified period.</t>
  </si>
  <si>
    <t>90th Percentile SST</t>
  </si>
  <si>
    <t>SST value below which 90% of observations fall over a specified period.</t>
  </si>
  <si>
    <t>Bimodality coefficient SST</t>
  </si>
  <si>
    <t>Indicates if the temperature distribution has one or two peaks. Values above 0.555 indicate bimodality.</t>
  </si>
  <si>
    <t>Unitless. bounded between 0 and 1.</t>
  </si>
  <si>
    <t>Calcite</t>
  </si>
  <si>
    <t>Concentration of calcite in the ocean, derived from remote sensing data and modeled environmental layers</t>
  </si>
  <si>
    <t>mol/m³</t>
  </si>
  <si>
    <t>Monthly</t>
  </si>
  <si>
    <t>2000–2020</t>
  </si>
  <si>
    <t>0.05 degrees (~5.5 km)</t>
  </si>
  <si>
    <r>
      <rPr>
        <rFont val="Arial"/>
        <color rgb="FF000000"/>
        <sz val="11.0"/>
      </rPr>
      <t xml:space="preserve">Assis J, Fernández Bejarano S J, Salazar V W, Schepers L, Gouvêa L, Fragkopoulou E, Leclercq F, Vanhoorne B, Tyberghein L, Serrão E A, Verbruggen H and De Clerck O 2024 Bio-ORACLE v3.0: pushing marine data layers to the CMIP6 Earth system models of climate change research </t>
    </r>
    <r>
      <rPr>
        <rFont val="Arial"/>
        <i/>
        <color rgb="FF000000"/>
        <sz val="11.0"/>
      </rPr>
      <t>Glob. Ecol. Biogeogr.</t>
    </r>
    <r>
      <rPr>
        <rFont val="Arial"/>
        <color rgb="FF000000"/>
        <sz val="11.0"/>
      </rPr>
      <t xml:space="preserve"> </t>
    </r>
    <r>
      <rPr>
        <rFont val="Arial"/>
        <b/>
        <color rgb="FF000000"/>
        <sz val="11.0"/>
      </rPr>
      <t>33</t>
    </r>
    <r>
      <rPr>
        <rFont val="Arial"/>
        <color rgb="FF000000"/>
        <sz val="11.0"/>
      </rPr>
      <t xml:space="preserve"> e13813 (doi: 10.1111/geb.13813)
</t>
    </r>
  </si>
  <si>
    <t>Salinity</t>
  </si>
  <si>
    <t>Salinity at the sea surface</t>
  </si>
  <si>
    <t>Practical Salinity Units (PSU)</t>
  </si>
  <si>
    <t>Decadal</t>
  </si>
  <si>
    <t>2000-2100</t>
  </si>
  <si>
    <t>Photosynthetically Active Radiation (PAR)</t>
  </si>
  <si>
    <t>Light availability in the photosynthetic spectrum</t>
  </si>
  <si>
    <t>μmol photons/m²/s</t>
  </si>
  <si>
    <t>Diffuse Attenuation Coefficient (Kd)</t>
  </si>
  <si>
    <t>Light attenuation through the water column</t>
  </si>
  <si>
    <t>m⁻¹</t>
  </si>
  <si>
    <t>Light at Bottom</t>
  </si>
  <si>
    <t>Photosynthetically available radiation reaching the seafloor, crucial for benthic primary production</t>
  </si>
  <si>
    <t>E·m⁻²·day⁻¹</t>
  </si>
  <si>
    <t>2000–2014</t>
  </si>
  <si>
    <t>5 arcmin (~9.2 km)</t>
  </si>
  <si>
    <t>Nutrients (Nitrate, Phosphate, Silicate)</t>
  </si>
  <si>
    <t>Concentrations of key nutrients in marine environments</t>
  </si>
  <si>
    <t>mmol/m³</t>
  </si>
  <si>
    <t>Dissolved Oxygen</t>
  </si>
  <si>
    <t>Concentration of dissolved molecular oxygen</t>
  </si>
  <si>
    <t>pH</t>
  </si>
  <si>
    <t>Measure of the acidity or alkalinity of seawater</t>
  </si>
  <si>
    <t>Unitless</t>
  </si>
  <si>
    <t>Current Velocity</t>
  </si>
  <si>
    <t>Speed and direction of ocean currents</t>
  </si>
  <si>
    <t>m/s</t>
  </si>
  <si>
    <t>Benthic PAR</t>
  </si>
  <si>
    <t>Photosynthetically Active Radiation (PAR) at the seabed</t>
  </si>
  <si>
    <t>Topographic Slope</t>
  </si>
  <si>
    <t>Measures the steepness or incline of the seafloor, calculated as the maximum rate of change in elevation between each cell and its neighbors.</t>
  </si>
  <si>
    <t>Degrees</t>
  </si>
  <si>
    <t>Static</t>
  </si>
  <si>
    <t>Topographic Aspect</t>
  </si>
  <si>
    <t>Orientation of the slope of the seafloor, measured in compass degrees.</t>
  </si>
  <si>
    <t>Degrees (0–360°)</t>
  </si>
  <si>
    <t>Topographic Position Index</t>
  </si>
  <si>
    <t>Index quantifying the relative position of a cell on the seafloor, identifying ridges, valleys, or flat areas.</t>
  </si>
  <si>
    <t>Ruggedness Index</t>
  </si>
  <si>
    <t>Degree of terrain variability in marine environments, representing seafloor complexity.</t>
  </si>
  <si>
    <t>PO4 to NO3 ratio</t>
  </si>
  <si>
    <t>The ratio between phosphate and nitrate concentrations</t>
  </si>
  <si>
    <t>Ecoregions</t>
  </si>
  <si>
    <t>A global bioregionalization of coastal and continental shelf ecosystems, identifying regions with distinct species assemblages and ecological processes. MEOW provides a hierarchical system of 12 realms, 62 provinces, and 232 ecoregions designed to support marine conservation planning.</t>
  </si>
  <si>
    <t>Polygons</t>
  </si>
  <si>
    <r>
      <rPr>
        <rFont val="Arial"/>
        <color theme="1"/>
        <sz val="11.0"/>
      </rPr>
      <t xml:space="preserve">Spalding M D, Fox H E, Allen G R, Davidson N, Ferdana Z A, Finlayson C, Halpern B S, Jorge M A, Lombana A L, Lourie S A and Robertson J 2007 Marine ecoregions of the world: a bioregionalization of coastal and shelf areas </t>
    </r>
    <r>
      <rPr>
        <rFont val="Arial"/>
        <i/>
        <color theme="1"/>
        <sz val="11.0"/>
      </rPr>
      <t>BioScience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57</t>
    </r>
    <r>
      <rPr>
        <rFont val="Arial"/>
        <color theme="1"/>
        <sz val="11.0"/>
      </rPr>
      <t xml:space="preserve"> 573–83</t>
    </r>
  </si>
  <si>
    <t>Coral provinces</t>
  </si>
  <si>
    <t>Faunal provinces adapted from Keith et al 2013 to include Caribbean, Brazilian, and West African reefs</t>
  </si>
  <si>
    <t>NA</t>
  </si>
  <si>
    <r>
      <rPr>
        <rFont val="Arial"/>
        <color rgb="FF000000"/>
        <sz val="11.0"/>
      </rPr>
      <t xml:space="preserve">Keith S A, Baird A H, Hughes T P, Madin J S and Connolly S R 2013 Faunal breaks and species composition of Indo-Pacific corals: the role of plate tectonics, environment and habitat distribution </t>
    </r>
    <r>
      <rPr>
        <rFont val="Arial"/>
        <i/>
        <color rgb="FF000000"/>
        <sz val="11.0"/>
      </rPr>
      <t xml:space="preserve">Proc. R. Soc. B </t>
    </r>
    <r>
      <rPr>
        <rFont val="Arial"/>
        <b/>
        <color rgb="FF000000"/>
        <sz val="11.0"/>
      </rPr>
      <t>280</t>
    </r>
    <r>
      <rPr>
        <rFont val="Arial"/>
        <color rgb="FF000000"/>
        <sz val="11.0"/>
      </rPr>
      <t xml:space="preserve"> 20130603</t>
    </r>
  </si>
  <si>
    <t>Coral reef extent</t>
  </si>
  <si>
    <t>Maximum extent of reef area</t>
  </si>
  <si>
    <t>2018–2021</t>
  </si>
  <si>
    <t>6 m</t>
  </si>
  <si>
    <t>Allen Coral Atlas 2022 Imagery, maps and monitoring of the world’s tropical coral reefs Zenodo (doi: 10.5281/zenodo.3833242)</t>
  </si>
  <si>
    <t>Geographic boundaries of warm-water coral reefs worldwide.</t>
  </si>
  <si>
    <t>Data compiled up to 2021</t>
  </si>
  <si>
    <t>Varies; primarily 30 m</t>
  </si>
  <si>
    <t>UNEP-WCMC, WorldFish Centre, WRI and TNC 2021 Global distribution of coral reefs Version 4.1 UNEP-WCMC, Cambridge, UK (doi:10.34892/t2wk-5t34)</t>
  </si>
  <si>
    <t>Geomorphic zonation</t>
  </si>
  <si>
    <t>Classification of reef structures into geomorphic zones (e.g., fore reef, lagoon).</t>
  </si>
  <si>
    <t>2018–2020</t>
  </si>
  <si>
    <t>5 m</t>
  </si>
  <si>
    <t>Depth</t>
  </si>
  <si>
    <t>Elevation of the seafloor relative to mean sea level, indicating ocean depth.</t>
  </si>
  <si>
    <t>Meters</t>
  </si>
  <si>
    <t>Data compiled up to 2024</t>
  </si>
  <si>
    <t>15 arc seconds (~500 meters at the equator)</t>
  </si>
  <si>
    <t>GEBCO Compilation Group 2024 GEBCO 2024 Grid (doi: 10.5285/1c44ce99-0a0d-5f4f-e063-7086abc0ea0f)</t>
  </si>
  <si>
    <t>Distance to 500m depth</t>
  </si>
  <si>
    <t>Clipped depth layer used to calculate distance from 500m depth</t>
  </si>
  <si>
    <t>Binary class</t>
  </si>
  <si>
    <t>Distance to land</t>
  </si>
  <si>
    <t>Clipped depth layer used to calculate distance from land</t>
  </si>
  <si>
    <t>Data compiled up to 2025</t>
  </si>
  <si>
    <t>Cyclone presence (multiple severities)</t>
  </si>
  <si>
    <t>Annual classification of cyclone exposure at multiple severities, calculated using interpolated wind speed and cyclone track data using inverse distance weighting</t>
  </si>
  <si>
    <t>Binary classification</t>
  </si>
  <si>
    <t>1840s–present</t>
  </si>
  <si>
    <t>200 km</t>
  </si>
  <si>
    <t>NOAA National Centers for Environmental Information (NCEI) Climate and environmental data holdings https://www.ncei.noaa.gov</t>
  </si>
  <si>
    <t>Max and mean sustained wind speed</t>
  </si>
  <si>
    <t>Annual of cyclone exposure at multiple severities, calculated using interpolated wind speed and cyclone track data using inverse distance weighting</t>
  </si>
  <si>
    <t>Kph</t>
  </si>
  <si>
    <t>Human gravity (fishing pressure)</t>
  </si>
  <si>
    <t>Index of human influence on coral reefs, combining population and travel time metrics.</t>
  </si>
  <si>
    <t>Variable (vector)</t>
  </si>
  <si>
    <r>
      <rPr>
        <rFont val="Arial"/>
        <color rgb="FF000000"/>
        <sz val="11.0"/>
      </rPr>
      <t xml:space="preserve">Cinner J E, Maire E, Huchery C, MacNeil M A, Graham N A J, Mora C, McClanahan T R, Barnes M L, Kittinger J N, Hicks C C and D’Agata S 2018 Gravity of human impacts mediates coral reef conservation gains </t>
    </r>
    <r>
      <rPr>
        <rFont val="Arial"/>
        <i/>
        <color rgb="FF000000"/>
        <sz val="11.0"/>
      </rPr>
      <t>Proc. Natl Acad. Sci. USA</t>
    </r>
    <r>
      <rPr>
        <rFont val="Arial"/>
        <color rgb="FF000000"/>
        <sz val="11.0"/>
      </rPr>
      <t xml:space="preserve"> </t>
    </r>
    <r>
      <rPr>
        <rFont val="Arial"/>
        <b/>
        <color rgb="FF000000"/>
        <sz val="11.0"/>
      </rPr>
      <t>115</t>
    </r>
    <r>
      <rPr>
        <rFont val="Arial"/>
        <color rgb="FF000000"/>
        <sz val="11.0"/>
      </rPr>
      <t xml:space="preserve"> E6116–25</t>
    </r>
  </si>
  <si>
    <t>Sediment plumes</t>
  </si>
  <si>
    <t>Sediment exposure incorporates land cover and management, rainfall-runoff erosivity, slope, steepness, and soil erodibility.</t>
  </si>
  <si>
    <t>tons sediment/km2</t>
  </si>
  <si>
    <t>1 km</t>
  </si>
  <si>
    <r>
      <rPr>
        <rFont val="Arial"/>
        <color rgb="FF000000"/>
        <sz val="11.0"/>
      </rPr>
      <t xml:space="preserve">Andrello M, Darling E S, Wenger A, Suárez-Castro A F, Gelfand S and Ahmadia G N 2022 A global map of human pressures on tropical coral reefs </t>
    </r>
    <r>
      <rPr>
        <rFont val="Arial"/>
        <i/>
        <color rgb="FF000000"/>
        <sz val="11.0"/>
      </rPr>
      <t>Conserv. Lett.</t>
    </r>
    <r>
      <rPr>
        <rFont val="Arial"/>
        <color rgb="FF000000"/>
        <sz val="11.0"/>
      </rPr>
      <t xml:space="preserve"> </t>
    </r>
    <r>
      <rPr>
        <rFont val="Arial"/>
        <b/>
        <color rgb="FF000000"/>
        <sz val="11.0"/>
      </rPr>
      <t>15</t>
    </r>
    <r>
      <rPr>
        <rFont val="Arial"/>
        <color rgb="FF000000"/>
        <sz val="11.0"/>
      </rPr>
      <t xml:space="preserve"> e12858 (doi: 10.1111/conl.12858)</t>
    </r>
  </si>
  <si>
    <t>Indegree and outdegree Connectivity</t>
  </si>
  <si>
    <t>The number of incoming and outgoing connections between reef cells</t>
  </si>
  <si>
    <t>8 km</t>
  </si>
  <si>
    <r>
      <rPr>
        <rFont val="Arial"/>
        <color rgb="FF000000"/>
        <sz val="11.0"/>
      </rPr>
      <t xml:space="preserve">Fontoura L, D’Agata S, Gamoyo M, Barneche D R, Luiz O J, Madin E M P, Eggertsen L and Maina J M 2022 Protecting connectivity promotes successful biodiversity and fisheries conservation </t>
    </r>
    <r>
      <rPr>
        <rFont val="Arial"/>
        <i/>
        <color rgb="FF000000"/>
        <sz val="11.0"/>
      </rPr>
      <t>Science</t>
    </r>
    <r>
      <rPr>
        <rFont val="Arial"/>
        <color rgb="FF000000"/>
        <sz val="11.0"/>
      </rPr>
      <t xml:space="preserve"> </t>
    </r>
    <r>
      <rPr>
        <rFont val="Arial"/>
        <b/>
        <color rgb="FF000000"/>
        <sz val="11.0"/>
      </rPr>
      <t>375</t>
    </r>
    <r>
      <rPr>
        <rFont val="Arial"/>
        <color rgb="FF000000"/>
        <sz val="11.0"/>
      </rPr>
      <t xml:space="preserve"> 336–40 (doi: 10.1126/science.abg4351)</t>
    </r>
  </si>
  <si>
    <t>Netflow connectivity</t>
  </si>
  <si>
    <t>The balance between incoming and outgoing larval supply</t>
  </si>
  <si>
    <t>Response</t>
  </si>
  <si>
    <t>R2, mean</t>
  </si>
  <si>
    <t>R2, SD</t>
  </si>
  <si>
    <t>MAE, mean</t>
  </si>
  <si>
    <t>MAE, SD</t>
  </si>
  <si>
    <t>(a) Training</t>
  </si>
  <si>
    <t>Total coral cover</t>
  </si>
  <si>
    <t>Competitive cover</t>
  </si>
  <si>
    <t>Stress tolerant cover</t>
  </si>
  <si>
    <t>Weedy cover</t>
  </si>
  <si>
    <t>(b) Testing</t>
  </si>
  <si>
    <t>Coral cover</t>
  </si>
  <si>
    <t>Coral province</t>
  </si>
  <si>
    <t>Number of models from global pool</t>
  </si>
  <si>
    <t>Mean absolute error skill</t>
  </si>
  <si>
    <t>SD</t>
  </si>
  <si>
    <r>
      <rPr>
        <rFont val="Arial"/>
        <b/>
        <color theme="1"/>
        <sz val="11.0"/>
      </rPr>
      <t xml:space="preserve">Permutation test
1-sided </t>
    </r>
    <r>
      <rPr>
        <rFont val="Arial"/>
        <b/>
        <i/>
        <color theme="1"/>
        <sz val="11.0"/>
      </rPr>
      <t>p</t>
    </r>
    <r>
      <rPr>
        <rFont val="Arial"/>
        <b/>
        <color theme="1"/>
        <sz val="11.0"/>
      </rPr>
      <t xml:space="preserve"> value</t>
    </r>
  </si>
  <si>
    <t>Median absolute deviation skill</t>
  </si>
  <si>
    <r>
      <rPr>
        <rFont val="Arial"/>
        <b/>
        <color theme="1"/>
        <sz val="11.0"/>
      </rPr>
      <t xml:space="preserve">Permutation test
1-sided </t>
    </r>
    <r>
      <rPr>
        <rFont val="Arial"/>
        <b/>
        <i/>
        <color theme="1"/>
        <sz val="11.0"/>
      </rPr>
      <t>p</t>
    </r>
    <r>
      <rPr>
        <rFont val="Arial"/>
        <b/>
        <color theme="1"/>
        <sz val="11.0"/>
      </rPr>
      <t xml:space="preserve"> value</t>
    </r>
  </si>
  <si>
    <t>% models pass MAE threshold</t>
  </si>
  <si>
    <t>% models pass MAD threshold</t>
  </si>
  <si>
    <t>% models pass both thresholds</t>
  </si>
  <si>
    <t>Africa-India</t>
  </si>
  <si>
    <t>Indonesian</t>
  </si>
  <si>
    <t>Atlantic Caribbean</t>
  </si>
  <si>
    <t>Hawaii-Line Islands</t>
  </si>
  <si>
    <t>Pacific Caribbean</t>
  </si>
  <si>
    <t>Australian</t>
  </si>
  <si>
    <t>Fiji-Caroline Islands</t>
  </si>
  <si>
    <t>Andaman-Nicobar Islands</t>
  </si>
  <si>
    <t>Persian Gulf</t>
  </si>
  <si>
    <t>Polynesia</t>
  </si>
  <si>
    <t>Red Sea</t>
  </si>
  <si>
    <t>Japan-Vietnam</t>
  </si>
  <si>
    <t>Tonga-Samoa</t>
  </si>
  <si>
    <t>Stress-tolerant cover</t>
  </si>
  <si>
    <t>EEZ Country</t>
  </si>
  <si>
    <t>Countries, territories, and maritime jurisdictions with coral reef EEZs</t>
  </si>
  <si>
    <t>Total Reef Extent (km²)</t>
  </si>
  <si>
    <t>50ReefsPlus  (km²)</t>
  </si>
  <si>
    <t>50ReefsPlus (% of total)</t>
  </si>
  <si>
    <t>New 50ReefsPlus Selections (km²)</t>
  </si>
  <si>
    <t>New 50ReefsPlus Selections (% of total)</t>
  </si>
  <si>
    <t>50ReefsPlus–Beyer Overlap (km²)</t>
  </si>
  <si>
    <t>50ReefsPlus–Beyer Overlap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</si>
  <si>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</si>
  <si>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</si>
  <si>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</si>
  <si>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</si>
  <si>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</si>
  <si>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</si>
  <si>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Bahamas</t>
  </si>
  <si>
    <t>Cuba</t>
  </si>
  <si>
    <t>Australia</t>
  </si>
  <si>
    <t>Indonesia</t>
  </si>
  <si>
    <t>Philippines</t>
  </si>
  <si>
    <t>Papua New Guinea</t>
  </si>
  <si>
    <t>Saudi Arabia</t>
  </si>
  <si>
    <t>Solomon Islands</t>
  </si>
  <si>
    <t>Fiji</t>
  </si>
  <si>
    <t>France</t>
  </si>
  <si>
    <t>French Polynesia</t>
  </si>
  <si>
    <t>Eritrea</t>
  </si>
  <si>
    <t>Tanzania</t>
  </si>
  <si>
    <t>New Caledonia</t>
  </si>
  <si>
    <t>Republic of Mauritius</t>
  </si>
  <si>
    <t>Chagos Archipelago</t>
  </si>
  <si>
    <t>Madagascar</t>
  </si>
  <si>
    <t>Mozambique</t>
  </si>
  <si>
    <t>Malaysia</t>
  </si>
  <si>
    <t>United States</t>
  </si>
  <si>
    <t>Hawaii</t>
  </si>
  <si>
    <t>Myanmar</t>
  </si>
  <si>
    <t>Belize</t>
  </si>
  <si>
    <t>United Kingdom</t>
  </si>
  <si>
    <t>Turks and Caicos Islands</t>
  </si>
  <si>
    <t>Micronesia</t>
  </si>
  <si>
    <t>Vanuatu</t>
  </si>
  <si>
    <t>India</t>
  </si>
  <si>
    <t>Panama</t>
  </si>
  <si>
    <t>Marshall Islands</t>
  </si>
  <si>
    <t>Kiribati</t>
  </si>
  <si>
    <t>Gilbert Islands</t>
  </si>
  <si>
    <t>United Arab Emirates</t>
  </si>
  <si>
    <t>China</t>
  </si>
  <si>
    <t>Sudan</t>
  </si>
  <si>
    <t>Andaman and Nicobar</t>
  </si>
  <si>
    <t>Japan</t>
  </si>
  <si>
    <t>Vietnam</t>
  </si>
  <si>
    <t>Bahrain</t>
  </si>
  <si>
    <t>Yemen</t>
  </si>
  <si>
    <t>Qatar</t>
  </si>
  <si>
    <t>Sri Lanka</t>
  </si>
  <si>
    <t>Palau</t>
  </si>
  <si>
    <t>Egypt</t>
  </si>
  <si>
    <t>Colombia</t>
  </si>
  <si>
    <t>Maldives</t>
  </si>
  <si>
    <t>Tonga</t>
  </si>
  <si>
    <t>Iran</t>
  </si>
  <si>
    <t>Thailand</t>
  </si>
  <si>
    <t>Oman</t>
  </si>
  <si>
    <t>Nicaragua</t>
  </si>
  <si>
    <t>Mayotte</t>
  </si>
  <si>
    <t>Tuvalu</t>
  </si>
  <si>
    <t>Honduras</t>
  </si>
  <si>
    <t>Federal Republic of Somalia</t>
  </si>
  <si>
    <t>Comores</t>
  </si>
  <si>
    <t>Seychelles</t>
  </si>
  <si>
    <t>Kenya</t>
  </si>
  <si>
    <t>Halaib Triangle</t>
  </si>
  <si>
    <t>Taiwan</t>
  </si>
  <si>
    <t>Ecuador</t>
  </si>
  <si>
    <t>Galapagos</t>
  </si>
  <si>
    <t>Samoa</t>
  </si>
  <si>
    <t>New Zealand</t>
  </si>
  <si>
    <t>Cook Islands</t>
  </si>
  <si>
    <t>Costa Rica</t>
  </si>
  <si>
    <t>Wallis and Futuna</t>
  </si>
  <si>
    <t>Serranilla Bank</t>
  </si>
  <si>
    <t>Serrana Bank</t>
  </si>
  <si>
    <t>Djibouti</t>
  </si>
  <si>
    <t>Cambodia</t>
  </si>
  <si>
    <t>American Samoa</t>
  </si>
  <si>
    <t>Bermuda</t>
  </si>
  <si>
    <t>Bajo Nuevo Bank</t>
  </si>
  <si>
    <t>Northern Mariana Islands</t>
  </si>
  <si>
    <t>Guam</t>
  </si>
  <si>
    <t>Cocos Islands</t>
  </si>
  <si>
    <t>Haiti</t>
  </si>
  <si>
    <t>Line Group</t>
  </si>
  <si>
    <t>Glorioso Islands</t>
  </si>
  <si>
    <t>Kuwait</t>
  </si>
  <si>
    <t>Niue</t>
  </si>
  <si>
    <t>Mexico</t>
  </si>
  <si>
    <t>British Virgin Islands</t>
  </si>
  <si>
    <t>Tokelau</t>
  </si>
  <si>
    <t>Quitasueño Bank</t>
  </si>
  <si>
    <t>Christmas Island</t>
  </si>
  <si>
    <t>Brunei</t>
  </si>
  <si>
    <t>Johnston Atoll</t>
  </si>
  <si>
    <t>Phoenix Group</t>
  </si>
  <si>
    <t>Jamaica</t>
  </si>
  <si>
    <t>Puerto Rico</t>
  </si>
  <si>
    <t>Dominican Republic</t>
  </si>
  <si>
    <t>Palmyra Atoll</t>
  </si>
  <si>
    <t>United States Virgin Islands</t>
  </si>
  <si>
    <t>South Africa</t>
  </si>
  <si>
    <t>Clipperton Island</t>
  </si>
  <si>
    <t>Netherlands</t>
  </si>
  <si>
    <t>Saba</t>
  </si>
  <si>
    <t>East Timor</t>
  </si>
  <si>
    <t>Jordan</t>
  </si>
  <si>
    <t>Pakistan</t>
  </si>
  <si>
    <t>Bangladesh</t>
  </si>
  <si>
    <t>Israel</t>
  </si>
  <si>
    <t>Juan de Nova Island</t>
  </si>
  <si>
    <t>Europa Island</t>
  </si>
  <si>
    <t>Ile Tromelin</t>
  </si>
  <si>
    <t>Réunion</t>
  </si>
  <si>
    <t>Anguilla</t>
  </si>
  <si>
    <t>Antigua and Barbuda</t>
  </si>
  <si>
    <t>Aruba</t>
  </si>
  <si>
    <t>Barbados</t>
  </si>
  <si>
    <t>Bonaire</t>
  </si>
  <si>
    <t>Cayman Islands</t>
  </si>
  <si>
    <t>Collectivity of Saint Martin</t>
  </si>
  <si>
    <t>Curaçao</t>
  </si>
  <si>
    <t>Dominica</t>
  </si>
  <si>
    <t>Grenada</t>
  </si>
  <si>
    <t>Guadeloupe</t>
  </si>
  <si>
    <t>Martinique</t>
  </si>
  <si>
    <t>Montserrat</t>
  </si>
  <si>
    <t>Navassa Island</t>
  </si>
  <si>
    <t>Saint Kitts and Nevis</t>
  </si>
  <si>
    <t>Saint Lucia</t>
  </si>
  <si>
    <t>Saint Vincent and the Grenadines</t>
  </si>
  <si>
    <t>Saint-Barthélemy</t>
  </si>
  <si>
    <t>Sint-Eustatius</t>
  </si>
  <si>
    <t>Sint-Maarten</t>
  </si>
  <si>
    <t>Trinidad and Tobago</t>
  </si>
  <si>
    <t>Venezuela</t>
  </si>
  <si>
    <t>Nauru</t>
  </si>
  <si>
    <t>Wake Island / Enenkio</t>
  </si>
  <si>
    <t>Jarvis Island</t>
  </si>
  <si>
    <t>Oecusse</t>
  </si>
  <si>
    <t>Singapore</t>
  </si>
  <si>
    <t>Senkaku Islands</t>
  </si>
  <si>
    <t>Abu musa, Greater and Lesser Tunb</t>
  </si>
  <si>
    <t>Pitcairn</t>
  </si>
  <si>
    <t>Howland and Baker Islands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</si>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</sst>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#,##0.0"/>
  </numFmts>
  <fonts count="9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1.0"/>
      <color theme="1"/>
      <name val="Aptos Narrow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u/>
      <sz val="11.0"/>
      <color theme="1"/>
      <name val="Arial"/>
    </font>
    <font>
      <sz val="11.0"/>
      <color theme="1"/>
      <name val="Pla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Font="1"/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6" numFmtId="2" xfId="0" applyAlignment="1" applyFont="1" applyNumberFormat="1">
      <alignment horizontal="center" shrinkToFit="0" wrapText="1"/>
    </xf>
    <xf borderId="0" fillId="0" fontId="7" numFmtId="0" xfId="0" applyFont="1"/>
    <xf borderId="0" fillId="0" fontId="4" numFmtId="2" xfId="0" applyAlignment="1" applyFont="1" applyNumberFormat="1">
      <alignment horizontal="center" shrinkToFit="0" wrapText="1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center" shrinkToFit="0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0" fontId="8" numFmtId="0" xfId="0" applyFont="1"/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shrinkToFit="0" vertical="bottom" wrapText="1"/>
    </xf>
    <xf borderId="0" fillId="0" fontId="4" numFmtId="166" xfId="0" applyAlignment="1" applyFont="1" applyNumberFormat="1">
      <alignment horizontal="center" shrinkToFit="0" vertical="bottom" wrapText="1"/>
    </xf>
    <xf borderId="0" fillId="0" fontId="4" numFmtId="3" xfId="0" applyAlignment="1" applyFont="1" applyNumberFormat="1">
      <alignment vertical="bottom"/>
    </xf>
    <xf borderId="0" fillId="0" fontId="4" numFmtId="166" xfId="0" applyAlignment="1" applyFont="1" applyNumberFormat="1">
      <alignment vertical="bottom"/>
    </xf>
    <xf borderId="0" fillId="0" fontId="4" numFmtId="3" xfId="0" applyAlignment="1" applyFont="1" applyNumberFormat="1">
      <alignment horizontal="center" shrinkToFit="0" wrapText="1"/>
    </xf>
    <xf borderId="0" fillId="0" fontId="8" numFmtId="3" xfId="0" applyAlignment="1" applyFont="1" applyNumberFormat="1">
      <alignment horizontal="center" shrinkToFit="0" wrapText="1"/>
    </xf>
    <xf borderId="0" fillId="0" fontId="8" numFmtId="166" xfId="0" applyAlignment="1" applyFont="1" applyNumberFormat="1">
      <alignment horizontal="center" shrinkToFit="0" wrapText="1"/>
    </xf>
    <xf borderId="0" fillId="0" fontId="8" numFmtId="3" xfId="0" applyAlignment="1" applyFont="1" applyNumberForma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4.13"/>
    <col customWidth="1" min="3" max="3" width="11.0"/>
    <col customWidth="1" min="4" max="4" width="12.88"/>
    <col customWidth="1" min="5" max="5" width="13.13"/>
    <col customWidth="1" min="6" max="6" width="6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>
        <v>1625.0</v>
      </c>
      <c r="C2" s="5" t="s">
        <v>7</v>
      </c>
      <c r="D2" s="5">
        <v>1992.0</v>
      </c>
      <c r="E2" s="5">
        <v>2015.0</v>
      </c>
      <c r="F2" s="6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9</v>
      </c>
      <c r="B3" s="5">
        <v>113.0</v>
      </c>
      <c r="C3" s="5" t="s">
        <v>7</v>
      </c>
      <c r="D3" s="5">
        <v>2004.0</v>
      </c>
      <c r="E3" s="5">
        <v>2018.0</v>
      </c>
      <c r="F3" s="4" t="s">
        <v>10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11</v>
      </c>
      <c r="B4" s="5">
        <v>1720.0</v>
      </c>
      <c r="C4" s="5" t="s">
        <v>12</v>
      </c>
      <c r="D4" s="5">
        <v>1958.0</v>
      </c>
      <c r="E4" s="5">
        <v>2005.0</v>
      </c>
      <c r="F4" s="8" t="s">
        <v>13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14</v>
      </c>
      <c r="B5" s="5">
        <v>3264.0</v>
      </c>
      <c r="C5" s="5" t="s">
        <v>7</v>
      </c>
      <c r="D5" s="5">
        <v>2001.0</v>
      </c>
      <c r="E5" s="5">
        <v>2025.0</v>
      </c>
      <c r="F5" s="9" t="s">
        <v>15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16</v>
      </c>
      <c r="B6" s="5">
        <v>33.0</v>
      </c>
      <c r="C6" s="5" t="s">
        <v>7</v>
      </c>
      <c r="D6" s="5">
        <v>2015.0</v>
      </c>
      <c r="E6" s="5">
        <v>2015.0</v>
      </c>
      <c r="F6" s="8" t="s">
        <v>17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18</v>
      </c>
      <c r="B7" s="5">
        <v>2584.0</v>
      </c>
      <c r="C7" s="5" t="s">
        <v>7</v>
      </c>
      <c r="D7" s="5">
        <v>2010.0</v>
      </c>
      <c r="E7" s="5">
        <v>2016.0</v>
      </c>
      <c r="F7" s="6" t="s">
        <v>19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20</v>
      </c>
      <c r="B8" s="5">
        <v>593.0</v>
      </c>
      <c r="C8" s="5" t="s">
        <v>7</v>
      </c>
      <c r="D8" s="5">
        <v>2001.0</v>
      </c>
      <c r="E8" s="5">
        <v>2021.0</v>
      </c>
      <c r="F8" s="4" t="s">
        <v>21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22</v>
      </c>
      <c r="B9" s="5">
        <v>846.0</v>
      </c>
      <c r="C9" s="5" t="s">
        <v>12</v>
      </c>
      <c r="D9" s="5">
        <v>1998.0</v>
      </c>
      <c r="E9" s="5">
        <v>2023.0</v>
      </c>
      <c r="F9" s="9" t="s">
        <v>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24</v>
      </c>
      <c r="B10" s="5">
        <v>582.0</v>
      </c>
      <c r="C10" s="5" t="s">
        <v>7</v>
      </c>
      <c r="D10" s="5">
        <v>1987.0</v>
      </c>
      <c r="E10" s="5">
        <v>2023.0</v>
      </c>
      <c r="F10" s="8" t="s">
        <v>25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57.0" customHeight="1">
      <c r="A11" s="4" t="s">
        <v>26</v>
      </c>
      <c r="B11" s="5">
        <v>35251.0</v>
      </c>
      <c r="C11" s="5" t="s">
        <v>12</v>
      </c>
      <c r="D11" s="5">
        <v>1980.0</v>
      </c>
      <c r="E11" s="5">
        <v>2020.0</v>
      </c>
      <c r="F11" s="8" t="s">
        <v>27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28</v>
      </c>
      <c r="B12" s="5">
        <v>27901.0</v>
      </c>
      <c r="C12" s="5" t="s">
        <v>12</v>
      </c>
      <c r="D12" s="5">
        <v>1977.0</v>
      </c>
      <c r="E12" s="5">
        <v>2020.0</v>
      </c>
      <c r="F12" s="8" t="s">
        <v>29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10"/>
      <c r="C13" s="10"/>
      <c r="D13" s="10"/>
      <c r="E13" s="10"/>
      <c r="F13" s="1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10"/>
      <c r="C14" s="10"/>
      <c r="D14" s="10"/>
      <c r="E14" s="10"/>
      <c r="F14" s="1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10"/>
      <c r="C15" s="10"/>
      <c r="D15" s="10"/>
      <c r="E15" s="10"/>
      <c r="F15" s="1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10"/>
      <c r="C16" s="10"/>
      <c r="D16" s="10"/>
      <c r="E16" s="10"/>
      <c r="F16" s="11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10"/>
      <c r="C17" s="10"/>
      <c r="D17" s="10"/>
      <c r="E17" s="10"/>
      <c r="F17" s="11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10"/>
      <c r="C18" s="10"/>
      <c r="D18" s="10"/>
      <c r="E18" s="10"/>
      <c r="F18" s="11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10"/>
      <c r="C19" s="10"/>
      <c r="D19" s="10"/>
      <c r="E19" s="10"/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10"/>
      <c r="C20" s="10"/>
      <c r="D20" s="10"/>
      <c r="E20" s="10"/>
      <c r="F20" s="1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10"/>
      <c r="C21" s="10"/>
      <c r="D21" s="10"/>
      <c r="E21" s="10"/>
      <c r="F21" s="1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10"/>
      <c r="C22" s="10"/>
      <c r="D22" s="10"/>
      <c r="E22" s="10"/>
      <c r="F22" s="1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10"/>
      <c r="C23" s="10"/>
      <c r="D23" s="10"/>
      <c r="E23" s="10"/>
      <c r="F23" s="1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10"/>
      <c r="C24" s="10"/>
      <c r="D24" s="10"/>
      <c r="E24" s="10"/>
      <c r="F24" s="1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10"/>
      <c r="C25" s="10"/>
      <c r="D25" s="10"/>
      <c r="E25" s="10"/>
      <c r="F25" s="1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10"/>
      <c r="C26" s="10"/>
      <c r="D26" s="10"/>
      <c r="E26" s="10"/>
      <c r="F26" s="1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10"/>
      <c r="C27" s="10"/>
      <c r="D27" s="10"/>
      <c r="E27" s="10"/>
      <c r="F27" s="1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10"/>
      <c r="C28" s="10"/>
      <c r="D28" s="10"/>
      <c r="E28" s="10"/>
      <c r="F28" s="1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10"/>
      <c r="C29" s="10"/>
      <c r="D29" s="10"/>
      <c r="E29" s="10"/>
      <c r="F29" s="1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10"/>
      <c r="C30" s="10"/>
      <c r="D30" s="10"/>
      <c r="E30" s="10"/>
      <c r="F30" s="1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10"/>
      <c r="C31" s="10"/>
      <c r="D31" s="10"/>
      <c r="E31" s="10"/>
      <c r="F31" s="11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10"/>
      <c r="C32" s="10"/>
      <c r="D32" s="10"/>
      <c r="E32" s="10"/>
      <c r="F32" s="1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10"/>
      <c r="C33" s="10"/>
      <c r="D33" s="10"/>
      <c r="E33" s="10"/>
      <c r="F33" s="11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10"/>
      <c r="C34" s="10"/>
      <c r="D34" s="10"/>
      <c r="E34" s="10"/>
      <c r="F34" s="11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10"/>
      <c r="C35" s="10"/>
      <c r="D35" s="10"/>
      <c r="E35" s="10"/>
      <c r="F35" s="11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10"/>
      <c r="C36" s="10"/>
      <c r="D36" s="10"/>
      <c r="E36" s="10"/>
      <c r="F36" s="11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10"/>
      <c r="C37" s="10"/>
      <c r="D37" s="10"/>
      <c r="E37" s="10"/>
      <c r="F37" s="11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10"/>
      <c r="C38" s="10"/>
      <c r="D38" s="10"/>
      <c r="E38" s="10"/>
      <c r="F38" s="1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10"/>
      <c r="C39" s="10"/>
      <c r="D39" s="10"/>
      <c r="E39" s="10"/>
      <c r="F39" s="1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10"/>
      <c r="C40" s="10"/>
      <c r="D40" s="10"/>
      <c r="E40" s="10"/>
      <c r="F40" s="1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10"/>
      <c r="C41" s="10"/>
      <c r="D41" s="10"/>
      <c r="E41" s="10"/>
      <c r="F41" s="1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10"/>
      <c r="C42" s="10"/>
      <c r="D42" s="10"/>
      <c r="E42" s="10"/>
      <c r="F42" s="1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10"/>
      <c r="C43" s="10"/>
      <c r="D43" s="10"/>
      <c r="E43" s="10"/>
      <c r="F43" s="1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10"/>
      <c r="C44" s="10"/>
      <c r="D44" s="10"/>
      <c r="E44" s="10"/>
      <c r="F44" s="11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10"/>
      <c r="C45" s="10"/>
      <c r="D45" s="10"/>
      <c r="E45" s="10"/>
      <c r="F45" s="11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10"/>
      <c r="C46" s="10"/>
      <c r="D46" s="10"/>
      <c r="E46" s="10"/>
      <c r="F46" s="11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10"/>
      <c r="C47" s="10"/>
      <c r="D47" s="10"/>
      <c r="E47" s="10"/>
      <c r="F47" s="11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10"/>
      <c r="C48" s="10"/>
      <c r="D48" s="10"/>
      <c r="E48" s="10"/>
      <c r="F48" s="11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10"/>
      <c r="C49" s="10"/>
      <c r="D49" s="10"/>
      <c r="E49" s="10"/>
      <c r="F49" s="1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10"/>
      <c r="C50" s="10"/>
      <c r="D50" s="10"/>
      <c r="E50" s="10"/>
      <c r="F50" s="1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10"/>
      <c r="C51" s="10"/>
      <c r="D51" s="10"/>
      <c r="E51" s="10"/>
      <c r="F51" s="1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10"/>
      <c r="C52" s="10"/>
      <c r="D52" s="10"/>
      <c r="E52" s="10"/>
      <c r="F52" s="1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10"/>
      <c r="C53" s="10"/>
      <c r="D53" s="10"/>
      <c r="E53" s="10"/>
      <c r="F53" s="1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10"/>
      <c r="C54" s="10"/>
      <c r="D54" s="10"/>
      <c r="E54" s="10"/>
      <c r="F54" s="1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10"/>
      <c r="C55" s="10"/>
      <c r="D55" s="10"/>
      <c r="E55" s="10"/>
      <c r="F55" s="11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10"/>
      <c r="C56" s="10"/>
      <c r="D56" s="10"/>
      <c r="E56" s="10"/>
      <c r="F56" s="11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10"/>
      <c r="C57" s="10"/>
      <c r="D57" s="10"/>
      <c r="E57" s="10"/>
      <c r="F57" s="11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10"/>
      <c r="C58" s="10"/>
      <c r="D58" s="10"/>
      <c r="E58" s="10"/>
      <c r="F58" s="11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10"/>
      <c r="C59" s="10"/>
      <c r="D59" s="10"/>
      <c r="E59" s="10"/>
      <c r="F59" s="11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10"/>
      <c r="C60" s="10"/>
      <c r="D60" s="10"/>
      <c r="E60" s="10"/>
      <c r="F60" s="11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10"/>
      <c r="C61" s="10"/>
      <c r="D61" s="10"/>
      <c r="E61" s="10"/>
      <c r="F61" s="11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10"/>
      <c r="C62" s="10"/>
      <c r="D62" s="10"/>
      <c r="E62" s="10"/>
      <c r="F62" s="11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10"/>
      <c r="C63" s="10"/>
      <c r="D63" s="10"/>
      <c r="E63" s="10"/>
      <c r="F63" s="1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10"/>
      <c r="C64" s="10"/>
      <c r="D64" s="10"/>
      <c r="E64" s="10"/>
      <c r="F64" s="11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10"/>
      <c r="C65" s="10"/>
      <c r="D65" s="10"/>
      <c r="E65" s="10"/>
      <c r="F65" s="11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10"/>
      <c r="C66" s="10"/>
      <c r="D66" s="10"/>
      <c r="E66" s="10"/>
      <c r="F66" s="11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10"/>
      <c r="C67" s="10"/>
      <c r="D67" s="10"/>
      <c r="E67" s="10"/>
      <c r="F67" s="11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10"/>
      <c r="C68" s="10"/>
      <c r="D68" s="10"/>
      <c r="E68" s="10"/>
      <c r="F68" s="11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10"/>
      <c r="C69" s="10"/>
      <c r="D69" s="10"/>
      <c r="E69" s="10"/>
      <c r="F69" s="11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10"/>
      <c r="C70" s="10"/>
      <c r="D70" s="10"/>
      <c r="E70" s="10"/>
      <c r="F70" s="11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10"/>
      <c r="C71" s="10"/>
      <c r="D71" s="10"/>
      <c r="E71" s="10"/>
      <c r="F71" s="11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10"/>
      <c r="C72" s="10"/>
      <c r="D72" s="10"/>
      <c r="E72" s="10"/>
      <c r="F72" s="11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10"/>
      <c r="C73" s="10"/>
      <c r="D73" s="10"/>
      <c r="E73" s="10"/>
      <c r="F73" s="11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10"/>
      <c r="C74" s="10"/>
      <c r="D74" s="10"/>
      <c r="E74" s="10"/>
      <c r="F74" s="11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10"/>
      <c r="C75" s="10"/>
      <c r="D75" s="10"/>
      <c r="E75" s="10"/>
      <c r="F75" s="11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10"/>
      <c r="C76" s="10"/>
      <c r="D76" s="10"/>
      <c r="E76" s="10"/>
      <c r="F76" s="11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10"/>
      <c r="C77" s="10"/>
      <c r="D77" s="10"/>
      <c r="E77" s="10"/>
      <c r="F77" s="11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10"/>
      <c r="C78" s="10"/>
      <c r="D78" s="10"/>
      <c r="E78" s="10"/>
      <c r="F78" s="11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10"/>
      <c r="C79" s="10"/>
      <c r="D79" s="10"/>
      <c r="E79" s="10"/>
      <c r="F79" s="11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10"/>
      <c r="C80" s="10"/>
      <c r="D80" s="10"/>
      <c r="E80" s="10"/>
      <c r="F80" s="11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10"/>
      <c r="C81" s="10"/>
      <c r="D81" s="10"/>
      <c r="E81" s="10"/>
      <c r="F81" s="11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10"/>
      <c r="C82" s="10"/>
      <c r="D82" s="10"/>
      <c r="E82" s="10"/>
      <c r="F82" s="11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10"/>
      <c r="C83" s="10"/>
      <c r="D83" s="10"/>
      <c r="E83" s="10"/>
      <c r="F83" s="11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10"/>
      <c r="C84" s="10"/>
      <c r="D84" s="10"/>
      <c r="E84" s="10"/>
      <c r="F84" s="11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10"/>
      <c r="C85" s="10"/>
      <c r="D85" s="10"/>
      <c r="E85" s="10"/>
      <c r="F85" s="11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10"/>
      <c r="C86" s="10"/>
      <c r="D86" s="10"/>
      <c r="E86" s="10"/>
      <c r="F86" s="1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10"/>
      <c r="C87" s="10"/>
      <c r="D87" s="10"/>
      <c r="E87" s="10"/>
      <c r="F87" s="11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10"/>
      <c r="C88" s="10"/>
      <c r="D88" s="10"/>
      <c r="E88" s="10"/>
      <c r="F88" s="11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10"/>
      <c r="C89" s="10"/>
      <c r="D89" s="10"/>
      <c r="E89" s="10"/>
      <c r="F89" s="11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10"/>
      <c r="C90" s="10"/>
      <c r="D90" s="10"/>
      <c r="E90" s="10"/>
      <c r="F90" s="11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10"/>
      <c r="C91" s="10"/>
      <c r="D91" s="10"/>
      <c r="E91" s="10"/>
      <c r="F91" s="11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10"/>
      <c r="C92" s="10"/>
      <c r="D92" s="10"/>
      <c r="E92" s="10"/>
      <c r="F92" s="11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10"/>
      <c r="C93" s="10"/>
      <c r="D93" s="10"/>
      <c r="E93" s="10"/>
      <c r="F93" s="11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10"/>
      <c r="C94" s="10"/>
      <c r="D94" s="10"/>
      <c r="E94" s="10"/>
      <c r="F94" s="11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10"/>
      <c r="C95" s="10"/>
      <c r="D95" s="10"/>
      <c r="E95" s="10"/>
      <c r="F95" s="11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10"/>
      <c r="C96" s="10"/>
      <c r="D96" s="10"/>
      <c r="E96" s="10"/>
      <c r="F96" s="11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10"/>
      <c r="C97" s="10"/>
      <c r="D97" s="10"/>
      <c r="E97" s="10"/>
      <c r="F97" s="11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10"/>
      <c r="C98" s="10"/>
      <c r="D98" s="10"/>
      <c r="E98" s="10"/>
      <c r="F98" s="11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10"/>
      <c r="C99" s="10"/>
      <c r="D99" s="10"/>
      <c r="E99" s="10"/>
      <c r="F99" s="11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10"/>
      <c r="C100" s="10"/>
      <c r="D100" s="10"/>
      <c r="E100" s="10"/>
      <c r="F100" s="11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10"/>
      <c r="C101" s="10"/>
      <c r="D101" s="10"/>
      <c r="E101" s="10"/>
      <c r="F101" s="11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10"/>
      <c r="C102" s="10"/>
      <c r="D102" s="10"/>
      <c r="E102" s="10"/>
      <c r="F102" s="11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10"/>
      <c r="C103" s="10"/>
      <c r="D103" s="10"/>
      <c r="E103" s="10"/>
      <c r="F103" s="11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10"/>
      <c r="C104" s="10"/>
      <c r="D104" s="10"/>
      <c r="E104" s="10"/>
      <c r="F104" s="11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10"/>
      <c r="C105" s="10"/>
      <c r="D105" s="10"/>
      <c r="E105" s="10"/>
      <c r="F105" s="11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10"/>
      <c r="C106" s="10"/>
      <c r="D106" s="10"/>
      <c r="E106" s="10"/>
      <c r="F106" s="11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10"/>
      <c r="C107" s="10"/>
      <c r="D107" s="10"/>
      <c r="E107" s="10"/>
      <c r="F107" s="11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10"/>
      <c r="C108" s="10"/>
      <c r="D108" s="10"/>
      <c r="E108" s="10"/>
      <c r="F108" s="11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10"/>
      <c r="C109" s="10"/>
      <c r="D109" s="10"/>
      <c r="E109" s="10"/>
      <c r="F109" s="11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10"/>
      <c r="C110" s="10"/>
      <c r="D110" s="10"/>
      <c r="E110" s="10"/>
      <c r="F110" s="11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10"/>
      <c r="C111" s="10"/>
      <c r="D111" s="10"/>
      <c r="E111" s="10"/>
      <c r="F111" s="11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10"/>
      <c r="C112" s="10"/>
      <c r="D112" s="10"/>
      <c r="E112" s="10"/>
      <c r="F112" s="11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10"/>
      <c r="C113" s="10"/>
      <c r="D113" s="10"/>
      <c r="E113" s="10"/>
      <c r="F113" s="11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10"/>
      <c r="C114" s="10"/>
      <c r="D114" s="10"/>
      <c r="E114" s="10"/>
      <c r="F114" s="11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10"/>
      <c r="C115" s="10"/>
      <c r="D115" s="10"/>
      <c r="E115" s="10"/>
      <c r="F115" s="11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10"/>
      <c r="C116" s="10"/>
      <c r="D116" s="10"/>
      <c r="E116" s="10"/>
      <c r="F116" s="11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10"/>
      <c r="C117" s="10"/>
      <c r="D117" s="10"/>
      <c r="E117" s="10"/>
      <c r="F117" s="11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10"/>
      <c r="C118" s="10"/>
      <c r="D118" s="10"/>
      <c r="E118" s="10"/>
      <c r="F118" s="11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10"/>
      <c r="C119" s="10"/>
      <c r="D119" s="10"/>
      <c r="E119" s="10"/>
      <c r="F119" s="11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10"/>
      <c r="C120" s="10"/>
      <c r="D120" s="10"/>
      <c r="E120" s="10"/>
      <c r="F120" s="11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10"/>
      <c r="C121" s="10"/>
      <c r="D121" s="10"/>
      <c r="E121" s="10"/>
      <c r="F121" s="11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10"/>
      <c r="C122" s="10"/>
      <c r="D122" s="10"/>
      <c r="E122" s="10"/>
      <c r="F122" s="11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10"/>
      <c r="C123" s="10"/>
      <c r="D123" s="10"/>
      <c r="E123" s="10"/>
      <c r="F123" s="11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10"/>
      <c r="C124" s="10"/>
      <c r="D124" s="10"/>
      <c r="E124" s="10"/>
      <c r="F124" s="11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10"/>
      <c r="C125" s="10"/>
      <c r="D125" s="10"/>
      <c r="E125" s="10"/>
      <c r="F125" s="11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10"/>
      <c r="C126" s="10"/>
      <c r="D126" s="10"/>
      <c r="E126" s="10"/>
      <c r="F126" s="11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10"/>
      <c r="C127" s="10"/>
      <c r="D127" s="10"/>
      <c r="E127" s="10"/>
      <c r="F127" s="11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10"/>
      <c r="C128" s="10"/>
      <c r="D128" s="10"/>
      <c r="E128" s="10"/>
      <c r="F128" s="11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10"/>
      <c r="C129" s="10"/>
      <c r="D129" s="10"/>
      <c r="E129" s="10"/>
      <c r="F129" s="11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10"/>
      <c r="C130" s="10"/>
      <c r="D130" s="10"/>
      <c r="E130" s="10"/>
      <c r="F130" s="11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10"/>
      <c r="C131" s="10"/>
      <c r="D131" s="10"/>
      <c r="E131" s="10"/>
      <c r="F131" s="11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10"/>
      <c r="C132" s="10"/>
      <c r="D132" s="10"/>
      <c r="E132" s="10"/>
      <c r="F132" s="11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10"/>
      <c r="C133" s="10"/>
      <c r="D133" s="10"/>
      <c r="E133" s="10"/>
      <c r="F133" s="11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10"/>
      <c r="C134" s="10"/>
      <c r="D134" s="10"/>
      <c r="E134" s="10"/>
      <c r="F134" s="11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10"/>
      <c r="C135" s="10"/>
      <c r="D135" s="10"/>
      <c r="E135" s="10"/>
      <c r="F135" s="1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10"/>
      <c r="C136" s="10"/>
      <c r="D136" s="10"/>
      <c r="E136" s="10"/>
      <c r="F136" s="1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10"/>
      <c r="C137" s="10"/>
      <c r="D137" s="10"/>
      <c r="E137" s="10"/>
      <c r="F137" s="1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10"/>
      <c r="C138" s="10"/>
      <c r="D138" s="10"/>
      <c r="E138" s="10"/>
      <c r="F138" s="1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10"/>
      <c r="C139" s="10"/>
      <c r="D139" s="10"/>
      <c r="E139" s="10"/>
      <c r="F139" s="1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10"/>
      <c r="C140" s="10"/>
      <c r="D140" s="10"/>
      <c r="E140" s="10"/>
      <c r="F140" s="1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10"/>
      <c r="C141" s="10"/>
      <c r="D141" s="10"/>
      <c r="E141" s="10"/>
      <c r="F141" s="1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10"/>
      <c r="C142" s="10"/>
      <c r="D142" s="10"/>
      <c r="E142" s="10"/>
      <c r="F142" s="1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10"/>
      <c r="C143" s="10"/>
      <c r="D143" s="10"/>
      <c r="E143" s="10"/>
      <c r="F143" s="1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10"/>
      <c r="C144" s="10"/>
      <c r="D144" s="10"/>
      <c r="E144" s="10"/>
      <c r="F144" s="1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10"/>
      <c r="C145" s="10"/>
      <c r="D145" s="10"/>
      <c r="E145" s="10"/>
      <c r="F145" s="1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10"/>
      <c r="C146" s="10"/>
      <c r="D146" s="10"/>
      <c r="E146" s="10"/>
      <c r="F146" s="1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10"/>
      <c r="C147" s="10"/>
      <c r="D147" s="10"/>
      <c r="E147" s="10"/>
      <c r="F147" s="1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10"/>
      <c r="C148" s="10"/>
      <c r="D148" s="10"/>
      <c r="E148" s="10"/>
      <c r="F148" s="1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10"/>
      <c r="C149" s="10"/>
      <c r="D149" s="10"/>
      <c r="E149" s="10"/>
      <c r="F149" s="1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10"/>
      <c r="C150" s="10"/>
      <c r="D150" s="10"/>
      <c r="E150" s="10"/>
      <c r="F150" s="1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10"/>
      <c r="C151" s="10"/>
      <c r="D151" s="10"/>
      <c r="E151" s="10"/>
      <c r="F151" s="1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10"/>
      <c r="C152" s="10"/>
      <c r="D152" s="10"/>
      <c r="E152" s="10"/>
      <c r="F152" s="1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10"/>
      <c r="C153" s="10"/>
      <c r="D153" s="10"/>
      <c r="E153" s="10"/>
      <c r="F153" s="1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10"/>
      <c r="C154" s="10"/>
      <c r="D154" s="10"/>
      <c r="E154" s="10"/>
      <c r="F154" s="1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10"/>
      <c r="C155" s="10"/>
      <c r="D155" s="10"/>
      <c r="E155" s="10"/>
      <c r="F155" s="1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10"/>
      <c r="C156" s="10"/>
      <c r="D156" s="10"/>
      <c r="E156" s="10"/>
      <c r="F156" s="1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10"/>
      <c r="C157" s="10"/>
      <c r="D157" s="10"/>
      <c r="E157" s="10"/>
      <c r="F157" s="1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10"/>
      <c r="C158" s="10"/>
      <c r="D158" s="10"/>
      <c r="E158" s="10"/>
      <c r="F158" s="1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10"/>
      <c r="C159" s="10"/>
      <c r="D159" s="10"/>
      <c r="E159" s="10"/>
      <c r="F159" s="1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10"/>
      <c r="C160" s="10"/>
      <c r="D160" s="10"/>
      <c r="E160" s="10"/>
      <c r="F160" s="1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10"/>
      <c r="C161" s="10"/>
      <c r="D161" s="10"/>
      <c r="E161" s="10"/>
      <c r="F161" s="1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10"/>
      <c r="C162" s="10"/>
      <c r="D162" s="10"/>
      <c r="E162" s="10"/>
      <c r="F162" s="1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10"/>
      <c r="C163" s="10"/>
      <c r="D163" s="10"/>
      <c r="E163" s="10"/>
      <c r="F163" s="1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10"/>
      <c r="C164" s="10"/>
      <c r="D164" s="10"/>
      <c r="E164" s="10"/>
      <c r="F164" s="1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10"/>
      <c r="C165" s="10"/>
      <c r="D165" s="10"/>
      <c r="E165" s="10"/>
      <c r="F165" s="1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10"/>
      <c r="C166" s="10"/>
      <c r="D166" s="10"/>
      <c r="E166" s="10"/>
      <c r="F166" s="1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10"/>
      <c r="C167" s="10"/>
      <c r="D167" s="10"/>
      <c r="E167" s="10"/>
      <c r="F167" s="1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10"/>
      <c r="C168" s="10"/>
      <c r="D168" s="10"/>
      <c r="E168" s="10"/>
      <c r="F168" s="1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10"/>
      <c r="C169" s="10"/>
      <c r="D169" s="10"/>
      <c r="E169" s="10"/>
      <c r="F169" s="1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10"/>
      <c r="C170" s="10"/>
      <c r="D170" s="10"/>
      <c r="E170" s="10"/>
      <c r="F170" s="1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10"/>
      <c r="C171" s="10"/>
      <c r="D171" s="10"/>
      <c r="E171" s="10"/>
      <c r="F171" s="1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10"/>
      <c r="C172" s="10"/>
      <c r="D172" s="10"/>
      <c r="E172" s="10"/>
      <c r="F172" s="1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10"/>
      <c r="C173" s="10"/>
      <c r="D173" s="10"/>
      <c r="E173" s="10"/>
      <c r="F173" s="1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10"/>
      <c r="C174" s="10"/>
      <c r="D174" s="10"/>
      <c r="E174" s="10"/>
      <c r="F174" s="1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10"/>
      <c r="C175" s="10"/>
      <c r="D175" s="10"/>
      <c r="E175" s="10"/>
      <c r="F175" s="1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10"/>
      <c r="C176" s="10"/>
      <c r="D176" s="10"/>
      <c r="E176" s="10"/>
      <c r="F176" s="1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10"/>
      <c r="C177" s="10"/>
      <c r="D177" s="10"/>
      <c r="E177" s="10"/>
      <c r="F177" s="1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10"/>
      <c r="C178" s="10"/>
      <c r="D178" s="10"/>
      <c r="E178" s="10"/>
      <c r="F178" s="1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10"/>
      <c r="C179" s="10"/>
      <c r="D179" s="10"/>
      <c r="E179" s="10"/>
      <c r="F179" s="1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10"/>
      <c r="C180" s="10"/>
      <c r="D180" s="10"/>
      <c r="E180" s="10"/>
      <c r="F180" s="1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10"/>
      <c r="C181" s="10"/>
      <c r="D181" s="10"/>
      <c r="E181" s="10"/>
      <c r="F181" s="1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10"/>
      <c r="C182" s="10"/>
      <c r="D182" s="10"/>
      <c r="E182" s="10"/>
      <c r="F182" s="1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10"/>
      <c r="C183" s="10"/>
      <c r="D183" s="10"/>
      <c r="E183" s="10"/>
      <c r="F183" s="1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10"/>
      <c r="C184" s="10"/>
      <c r="D184" s="10"/>
      <c r="E184" s="10"/>
      <c r="F184" s="1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10"/>
      <c r="C185" s="10"/>
      <c r="D185" s="10"/>
      <c r="E185" s="10"/>
      <c r="F185" s="1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10"/>
      <c r="C186" s="10"/>
      <c r="D186" s="10"/>
      <c r="E186" s="10"/>
      <c r="F186" s="1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10"/>
      <c r="C187" s="10"/>
      <c r="D187" s="10"/>
      <c r="E187" s="10"/>
      <c r="F187" s="1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10"/>
      <c r="C188" s="10"/>
      <c r="D188" s="10"/>
      <c r="E188" s="10"/>
      <c r="F188" s="1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10"/>
      <c r="C189" s="10"/>
      <c r="D189" s="10"/>
      <c r="E189" s="10"/>
      <c r="F189" s="1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10"/>
      <c r="C190" s="10"/>
      <c r="D190" s="10"/>
      <c r="E190" s="10"/>
      <c r="F190" s="1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10"/>
      <c r="C191" s="10"/>
      <c r="D191" s="10"/>
      <c r="E191" s="10"/>
      <c r="F191" s="1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10"/>
      <c r="C192" s="10"/>
      <c r="D192" s="10"/>
      <c r="E192" s="10"/>
      <c r="F192" s="1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10"/>
      <c r="C193" s="10"/>
      <c r="D193" s="10"/>
      <c r="E193" s="10"/>
      <c r="F193" s="1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10"/>
      <c r="C194" s="10"/>
      <c r="D194" s="10"/>
      <c r="E194" s="10"/>
      <c r="F194" s="1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10"/>
      <c r="C195" s="10"/>
      <c r="D195" s="10"/>
      <c r="E195" s="10"/>
      <c r="F195" s="1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10"/>
      <c r="C196" s="10"/>
      <c r="D196" s="10"/>
      <c r="E196" s="10"/>
      <c r="F196" s="1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10"/>
      <c r="C197" s="10"/>
      <c r="D197" s="10"/>
      <c r="E197" s="10"/>
      <c r="F197" s="1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10"/>
      <c r="C198" s="10"/>
      <c r="D198" s="10"/>
      <c r="E198" s="10"/>
      <c r="F198" s="1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10"/>
      <c r="C199" s="10"/>
      <c r="D199" s="10"/>
      <c r="E199" s="10"/>
      <c r="F199" s="1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10"/>
      <c r="C200" s="10"/>
      <c r="D200" s="10"/>
      <c r="E200" s="10"/>
      <c r="F200" s="1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10"/>
      <c r="C201" s="10"/>
      <c r="D201" s="10"/>
      <c r="E201" s="10"/>
      <c r="F201" s="1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10"/>
      <c r="C202" s="10"/>
      <c r="D202" s="10"/>
      <c r="E202" s="10"/>
      <c r="F202" s="1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10"/>
      <c r="C203" s="10"/>
      <c r="D203" s="10"/>
      <c r="E203" s="10"/>
      <c r="F203" s="1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10"/>
      <c r="C204" s="10"/>
      <c r="D204" s="10"/>
      <c r="E204" s="10"/>
      <c r="F204" s="1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10"/>
      <c r="C205" s="10"/>
      <c r="D205" s="10"/>
      <c r="E205" s="10"/>
      <c r="F205" s="1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10"/>
      <c r="C206" s="10"/>
      <c r="D206" s="10"/>
      <c r="E206" s="10"/>
      <c r="F206" s="1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10"/>
      <c r="C207" s="10"/>
      <c r="D207" s="10"/>
      <c r="E207" s="10"/>
      <c r="F207" s="1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10"/>
      <c r="C208" s="10"/>
      <c r="D208" s="10"/>
      <c r="E208" s="10"/>
      <c r="F208" s="1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10"/>
      <c r="C209" s="10"/>
      <c r="D209" s="10"/>
      <c r="E209" s="10"/>
      <c r="F209" s="1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10"/>
      <c r="C210" s="10"/>
      <c r="D210" s="10"/>
      <c r="E210" s="10"/>
      <c r="F210" s="1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10"/>
      <c r="C211" s="10"/>
      <c r="D211" s="10"/>
      <c r="E211" s="10"/>
      <c r="F211" s="1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10"/>
      <c r="C212" s="10"/>
      <c r="D212" s="10"/>
      <c r="E212" s="10"/>
      <c r="F212" s="1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10"/>
      <c r="C213" s="10"/>
      <c r="D213" s="10"/>
      <c r="E213" s="10"/>
      <c r="F213" s="1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10"/>
      <c r="C214" s="10"/>
      <c r="D214" s="10"/>
      <c r="E214" s="10"/>
      <c r="F214" s="1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10"/>
      <c r="C215" s="10"/>
      <c r="D215" s="10"/>
      <c r="E215" s="10"/>
      <c r="F215" s="1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10"/>
      <c r="C216" s="10"/>
      <c r="D216" s="10"/>
      <c r="E216" s="10"/>
      <c r="F216" s="1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10"/>
      <c r="C217" s="10"/>
      <c r="D217" s="10"/>
      <c r="E217" s="10"/>
      <c r="F217" s="1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10"/>
      <c r="C218" s="10"/>
      <c r="D218" s="10"/>
      <c r="E218" s="10"/>
      <c r="F218" s="1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10"/>
      <c r="C219" s="10"/>
      <c r="D219" s="10"/>
      <c r="E219" s="10"/>
      <c r="F219" s="1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10"/>
      <c r="C220" s="10"/>
      <c r="D220" s="10"/>
      <c r="E220" s="10"/>
      <c r="F220" s="1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F221" s="11"/>
    </row>
    <row r="222" ht="15.75" customHeight="1">
      <c r="F222" s="11"/>
    </row>
    <row r="223" ht="15.75" customHeight="1">
      <c r="F223" s="11"/>
    </row>
    <row r="224" ht="15.75" customHeight="1">
      <c r="F224" s="11"/>
    </row>
    <row r="225" ht="15.75" customHeight="1">
      <c r="F225" s="11"/>
    </row>
    <row r="226" ht="15.75" customHeight="1">
      <c r="F226" s="11"/>
    </row>
    <row r="227" ht="15.75" customHeight="1">
      <c r="F227" s="11"/>
    </row>
    <row r="228" ht="15.75" customHeight="1">
      <c r="F228" s="11"/>
    </row>
    <row r="229" ht="15.75" customHeight="1">
      <c r="F229" s="11"/>
    </row>
    <row r="230" ht="15.75" customHeight="1">
      <c r="F230" s="11"/>
    </row>
    <row r="231" ht="15.75" customHeight="1">
      <c r="F231" s="11"/>
    </row>
    <row r="232" ht="15.75" customHeight="1">
      <c r="F232" s="11"/>
    </row>
    <row r="233" ht="15.75" customHeight="1">
      <c r="F233" s="11"/>
    </row>
    <row r="234" ht="15.75" customHeight="1">
      <c r="F234" s="11"/>
    </row>
    <row r="235" ht="15.75" customHeight="1">
      <c r="F235" s="11"/>
    </row>
    <row r="236" ht="15.75" customHeight="1">
      <c r="F236" s="11"/>
    </row>
    <row r="237" ht="15.75" customHeight="1">
      <c r="F237" s="11"/>
    </row>
    <row r="238" ht="15.75" customHeight="1">
      <c r="F238" s="11"/>
    </row>
    <row r="239" ht="15.75" customHeight="1">
      <c r="F239" s="11"/>
    </row>
    <row r="240" ht="15.75" customHeight="1">
      <c r="F240" s="11"/>
    </row>
    <row r="241" ht="15.75" customHeight="1">
      <c r="F241" s="11"/>
    </row>
    <row r="242" ht="15.75" customHeight="1">
      <c r="F242" s="11"/>
    </row>
    <row r="243" ht="15.75" customHeight="1">
      <c r="F243" s="11"/>
    </row>
    <row r="244" ht="15.75" customHeight="1">
      <c r="F244" s="11"/>
    </row>
    <row r="245" ht="15.75" customHeight="1">
      <c r="F245" s="11"/>
    </row>
    <row r="246" ht="15.75" customHeight="1">
      <c r="F246" s="11"/>
    </row>
    <row r="247" ht="15.75" customHeight="1">
      <c r="F247" s="11"/>
    </row>
    <row r="248" ht="15.75" customHeight="1">
      <c r="F248" s="11"/>
    </row>
    <row r="249" ht="15.75" customHeight="1">
      <c r="F249" s="11"/>
    </row>
    <row r="250" ht="15.75" customHeight="1">
      <c r="F250" s="11"/>
    </row>
    <row r="251" ht="15.75" customHeight="1">
      <c r="F251" s="11"/>
    </row>
    <row r="252" ht="15.75" customHeight="1">
      <c r="F252" s="11"/>
    </row>
    <row r="253" ht="15.75" customHeight="1">
      <c r="F253" s="11"/>
    </row>
    <row r="254" ht="15.75" customHeight="1">
      <c r="F254" s="11"/>
    </row>
    <row r="255" ht="15.75" customHeight="1">
      <c r="F255" s="11"/>
    </row>
    <row r="256" ht="15.75" customHeight="1">
      <c r="F256" s="11"/>
    </row>
    <row r="257" ht="15.75" customHeight="1">
      <c r="F257" s="11"/>
    </row>
    <row r="258" ht="15.75" customHeight="1">
      <c r="F258" s="11"/>
    </row>
    <row r="259" ht="15.75" customHeight="1">
      <c r="F259" s="11"/>
    </row>
    <row r="260" ht="15.75" customHeight="1">
      <c r="F260" s="11"/>
    </row>
    <row r="261" ht="15.75" customHeight="1">
      <c r="F261" s="11"/>
    </row>
    <row r="262" ht="15.75" customHeight="1">
      <c r="F262" s="11"/>
    </row>
    <row r="263" ht="15.75" customHeight="1">
      <c r="F263" s="11"/>
    </row>
    <row r="264" ht="15.75" customHeight="1">
      <c r="F264" s="11"/>
    </row>
    <row r="265" ht="15.75" customHeight="1">
      <c r="F265" s="11"/>
    </row>
    <row r="266" ht="15.75" customHeight="1">
      <c r="F266" s="11"/>
    </row>
    <row r="267" ht="15.75" customHeight="1">
      <c r="F267" s="11"/>
    </row>
    <row r="268" ht="15.75" customHeight="1">
      <c r="F268" s="11"/>
    </row>
    <row r="269" ht="15.75" customHeight="1">
      <c r="F269" s="11"/>
    </row>
    <row r="270" ht="15.75" customHeight="1">
      <c r="F270" s="11"/>
    </row>
    <row r="271" ht="15.75" customHeight="1">
      <c r="F271" s="11"/>
    </row>
    <row r="272" ht="15.75" customHeight="1">
      <c r="F272" s="11"/>
    </row>
    <row r="273" ht="15.75" customHeight="1">
      <c r="F273" s="11"/>
    </row>
    <row r="274" ht="15.75" customHeight="1">
      <c r="F274" s="11"/>
    </row>
    <row r="275" ht="15.75" customHeight="1">
      <c r="F275" s="11"/>
    </row>
    <row r="276" ht="15.75" customHeight="1">
      <c r="F276" s="11"/>
    </row>
    <row r="277" ht="15.75" customHeight="1">
      <c r="F277" s="11"/>
    </row>
    <row r="278" ht="15.75" customHeight="1">
      <c r="F278" s="11"/>
    </row>
    <row r="279" ht="15.75" customHeight="1">
      <c r="F279" s="11"/>
    </row>
    <row r="280" ht="15.75" customHeight="1">
      <c r="F280" s="11"/>
    </row>
    <row r="281" ht="15.75" customHeight="1">
      <c r="F281" s="11"/>
    </row>
    <row r="282" ht="15.75" customHeight="1">
      <c r="F282" s="11"/>
    </row>
    <row r="283" ht="15.75" customHeight="1">
      <c r="F283" s="11"/>
    </row>
    <row r="284" ht="15.75" customHeight="1">
      <c r="F284" s="11"/>
    </row>
    <row r="285" ht="15.75" customHeight="1">
      <c r="F285" s="11"/>
    </row>
    <row r="286" ht="15.75" customHeight="1">
      <c r="F286" s="11"/>
    </row>
    <row r="287" ht="15.75" customHeight="1">
      <c r="F287" s="11"/>
    </row>
    <row r="288" ht="15.75" customHeight="1">
      <c r="F288" s="11"/>
    </row>
    <row r="289" ht="15.75" customHeight="1">
      <c r="F289" s="11"/>
    </row>
    <row r="290" ht="15.75" customHeight="1">
      <c r="F290" s="11"/>
    </row>
    <row r="291" ht="15.75" customHeight="1">
      <c r="F291" s="11"/>
    </row>
    <row r="292" ht="15.75" customHeight="1">
      <c r="F292" s="11"/>
    </row>
    <row r="293" ht="15.75" customHeight="1">
      <c r="F293" s="11"/>
    </row>
    <row r="294" ht="15.75" customHeight="1">
      <c r="F294" s="11"/>
    </row>
    <row r="295" ht="15.75" customHeight="1">
      <c r="F295" s="11"/>
    </row>
    <row r="296" ht="15.75" customHeight="1">
      <c r="F296" s="11"/>
    </row>
    <row r="297" ht="15.75" customHeight="1">
      <c r="F297" s="11"/>
    </row>
    <row r="298" ht="15.75" customHeight="1">
      <c r="F298" s="11"/>
    </row>
    <row r="299" ht="15.75" customHeight="1">
      <c r="F299" s="11"/>
    </row>
    <row r="300" ht="15.75" customHeight="1">
      <c r="F300" s="11"/>
    </row>
    <row r="301" ht="15.75" customHeight="1">
      <c r="F301" s="11"/>
    </row>
    <row r="302" ht="15.75" customHeight="1">
      <c r="F302" s="11"/>
    </row>
    <row r="303" ht="15.75" customHeight="1">
      <c r="F303" s="11"/>
    </row>
    <row r="304" ht="15.75" customHeight="1">
      <c r="F304" s="11"/>
    </row>
    <row r="305" ht="15.75" customHeight="1">
      <c r="F305" s="11"/>
    </row>
    <row r="306" ht="15.75" customHeight="1">
      <c r="F306" s="11"/>
    </row>
    <row r="307" ht="15.75" customHeight="1">
      <c r="F307" s="11"/>
    </row>
    <row r="308" ht="15.75" customHeight="1">
      <c r="F308" s="11"/>
    </row>
    <row r="309" ht="15.75" customHeight="1">
      <c r="F309" s="11"/>
    </row>
    <row r="310" ht="15.75" customHeight="1">
      <c r="F310" s="11"/>
    </row>
    <row r="311" ht="15.75" customHeight="1">
      <c r="F311" s="11"/>
    </row>
    <row r="312" ht="15.75" customHeight="1">
      <c r="F312" s="11"/>
    </row>
    <row r="313" ht="15.75" customHeight="1">
      <c r="F313" s="11"/>
    </row>
    <row r="314" ht="15.75" customHeight="1">
      <c r="F314" s="11"/>
    </row>
    <row r="315" ht="15.75" customHeight="1">
      <c r="F315" s="11"/>
    </row>
    <row r="316" ht="15.75" customHeight="1">
      <c r="F316" s="11"/>
    </row>
    <row r="317" ht="15.75" customHeight="1">
      <c r="F317" s="11"/>
    </row>
    <row r="318" ht="15.75" customHeight="1">
      <c r="F318" s="11"/>
    </row>
    <row r="319" ht="15.75" customHeight="1">
      <c r="F319" s="11"/>
    </row>
    <row r="320" ht="15.75" customHeight="1">
      <c r="F320" s="11"/>
    </row>
    <row r="321" ht="15.75" customHeight="1">
      <c r="F321" s="11"/>
    </row>
    <row r="322" ht="15.75" customHeight="1">
      <c r="F322" s="11"/>
    </row>
    <row r="323" ht="15.75" customHeight="1">
      <c r="F323" s="11"/>
    </row>
    <row r="324" ht="15.75" customHeight="1">
      <c r="F324" s="11"/>
    </row>
    <row r="325" ht="15.75" customHeight="1">
      <c r="F325" s="11"/>
    </row>
    <row r="326" ht="15.75" customHeight="1">
      <c r="F326" s="11"/>
    </row>
    <row r="327" ht="15.75" customHeight="1">
      <c r="F327" s="11"/>
    </row>
    <row r="328" ht="15.75" customHeight="1">
      <c r="F328" s="11"/>
    </row>
    <row r="329" ht="15.75" customHeight="1">
      <c r="F329" s="11"/>
    </row>
    <row r="330" ht="15.75" customHeight="1">
      <c r="F330" s="11"/>
    </row>
    <row r="331" ht="15.75" customHeight="1">
      <c r="F331" s="11"/>
    </row>
    <row r="332" ht="15.75" customHeight="1">
      <c r="F332" s="11"/>
    </row>
    <row r="333" ht="15.75" customHeight="1">
      <c r="F333" s="11"/>
    </row>
    <row r="334" ht="15.75" customHeight="1">
      <c r="F334" s="11"/>
    </row>
    <row r="335" ht="15.75" customHeight="1">
      <c r="F335" s="11"/>
    </row>
    <row r="336" ht="15.75" customHeight="1">
      <c r="F336" s="11"/>
    </row>
    <row r="337" ht="15.75" customHeight="1">
      <c r="F337" s="11"/>
    </row>
    <row r="338" ht="15.75" customHeight="1">
      <c r="F338" s="11"/>
    </row>
    <row r="339" ht="15.75" customHeight="1">
      <c r="F339" s="11"/>
    </row>
    <row r="340" ht="15.75" customHeight="1">
      <c r="F340" s="11"/>
    </row>
    <row r="341" ht="15.75" customHeight="1">
      <c r="F341" s="11"/>
    </row>
    <row r="342" ht="15.75" customHeight="1">
      <c r="F342" s="11"/>
    </row>
    <row r="343" ht="15.75" customHeight="1">
      <c r="F343" s="11"/>
    </row>
    <row r="344" ht="15.75" customHeight="1">
      <c r="F344" s="11"/>
    </row>
    <row r="345" ht="15.75" customHeight="1">
      <c r="F345" s="11"/>
    </row>
    <row r="346" ht="15.75" customHeight="1">
      <c r="F346" s="11"/>
    </row>
    <row r="347" ht="15.75" customHeight="1">
      <c r="F347" s="11"/>
    </row>
    <row r="348" ht="15.75" customHeight="1">
      <c r="F348" s="11"/>
    </row>
    <row r="349" ht="15.75" customHeight="1">
      <c r="F349" s="11"/>
    </row>
    <row r="350" ht="15.75" customHeight="1">
      <c r="F350" s="11"/>
    </row>
    <row r="351" ht="15.75" customHeight="1">
      <c r="F351" s="11"/>
    </row>
    <row r="352" ht="15.75" customHeight="1">
      <c r="F352" s="11"/>
    </row>
    <row r="353" ht="15.75" customHeight="1">
      <c r="F353" s="11"/>
    </row>
    <row r="354" ht="15.75" customHeight="1">
      <c r="F354" s="11"/>
    </row>
    <row r="355" ht="15.75" customHeight="1">
      <c r="F355" s="11"/>
    </row>
    <row r="356" ht="15.75" customHeight="1">
      <c r="F356" s="11"/>
    </row>
    <row r="357" ht="15.75" customHeight="1">
      <c r="F357" s="11"/>
    </row>
    <row r="358" ht="15.75" customHeight="1">
      <c r="F358" s="11"/>
    </row>
    <row r="359" ht="15.75" customHeight="1">
      <c r="F359" s="11"/>
    </row>
    <row r="360" ht="15.75" customHeight="1">
      <c r="F360" s="11"/>
    </row>
    <row r="361" ht="15.75" customHeight="1">
      <c r="F361" s="11"/>
    </row>
    <row r="362" ht="15.75" customHeight="1">
      <c r="F362" s="11"/>
    </row>
    <row r="363" ht="15.75" customHeight="1">
      <c r="F363" s="11"/>
    </row>
    <row r="364" ht="15.75" customHeight="1">
      <c r="F364" s="11"/>
    </row>
    <row r="365" ht="15.75" customHeight="1">
      <c r="F365" s="11"/>
    </row>
    <row r="366" ht="15.75" customHeight="1">
      <c r="F366" s="11"/>
    </row>
    <row r="367" ht="15.75" customHeight="1">
      <c r="F367" s="11"/>
    </row>
    <row r="368" ht="15.75" customHeight="1">
      <c r="F368" s="11"/>
    </row>
    <row r="369" ht="15.75" customHeight="1">
      <c r="F369" s="11"/>
    </row>
    <row r="370" ht="15.75" customHeight="1">
      <c r="F370" s="11"/>
    </row>
    <row r="371" ht="15.75" customHeight="1">
      <c r="F371" s="11"/>
    </row>
    <row r="372" ht="15.75" customHeight="1">
      <c r="F372" s="11"/>
    </row>
    <row r="373" ht="15.75" customHeight="1">
      <c r="F373" s="11"/>
    </row>
    <row r="374" ht="15.75" customHeight="1">
      <c r="F374" s="11"/>
    </row>
    <row r="375" ht="15.75" customHeight="1">
      <c r="F375" s="11"/>
    </row>
    <row r="376" ht="15.75" customHeight="1">
      <c r="F376" s="11"/>
    </row>
    <row r="377" ht="15.75" customHeight="1">
      <c r="F377" s="11"/>
    </row>
    <row r="378" ht="15.75" customHeight="1">
      <c r="F378" s="11"/>
    </row>
    <row r="379" ht="15.75" customHeight="1">
      <c r="F379" s="11"/>
    </row>
    <row r="380" ht="15.75" customHeight="1">
      <c r="F380" s="11"/>
    </row>
    <row r="381" ht="15.75" customHeight="1">
      <c r="F381" s="11"/>
    </row>
    <row r="382" ht="15.75" customHeight="1">
      <c r="F382" s="11"/>
    </row>
    <row r="383" ht="15.75" customHeight="1">
      <c r="F383" s="11"/>
    </row>
    <row r="384" ht="15.75" customHeight="1">
      <c r="F384" s="11"/>
    </row>
    <row r="385" ht="15.75" customHeight="1">
      <c r="F385" s="11"/>
    </row>
    <row r="386" ht="15.75" customHeight="1">
      <c r="F386" s="11"/>
    </row>
    <row r="387" ht="15.75" customHeight="1">
      <c r="F387" s="11"/>
    </row>
    <row r="388" ht="15.75" customHeight="1">
      <c r="F388" s="11"/>
    </row>
    <row r="389" ht="15.75" customHeight="1">
      <c r="F389" s="11"/>
    </row>
    <row r="390" ht="15.75" customHeight="1">
      <c r="F390" s="11"/>
    </row>
    <row r="391" ht="15.75" customHeight="1">
      <c r="F391" s="11"/>
    </row>
    <row r="392" ht="15.75" customHeight="1">
      <c r="F392" s="11"/>
    </row>
    <row r="393" ht="15.75" customHeight="1">
      <c r="F393" s="11"/>
    </row>
    <row r="394" ht="15.75" customHeight="1">
      <c r="F394" s="11"/>
    </row>
    <row r="395" ht="15.75" customHeight="1">
      <c r="F395" s="11"/>
    </row>
    <row r="396" ht="15.75" customHeight="1">
      <c r="F396" s="11"/>
    </row>
    <row r="397" ht="15.75" customHeight="1">
      <c r="F397" s="11"/>
    </row>
    <row r="398" ht="15.75" customHeight="1">
      <c r="F398" s="11"/>
    </row>
    <row r="399" ht="15.75" customHeight="1">
      <c r="F399" s="11"/>
    </row>
    <row r="400" ht="15.75" customHeight="1">
      <c r="F400" s="11"/>
    </row>
    <row r="401" ht="15.75" customHeight="1">
      <c r="F401" s="11"/>
    </row>
    <row r="402" ht="15.75" customHeight="1">
      <c r="F402" s="11"/>
    </row>
    <row r="403" ht="15.75" customHeight="1">
      <c r="F403" s="11"/>
    </row>
    <row r="404" ht="15.75" customHeight="1">
      <c r="F404" s="11"/>
    </row>
    <row r="405" ht="15.75" customHeight="1">
      <c r="F405" s="11"/>
    </row>
    <row r="406" ht="15.75" customHeight="1">
      <c r="F406" s="11"/>
    </row>
    <row r="407" ht="15.75" customHeight="1">
      <c r="F407" s="11"/>
    </row>
    <row r="408" ht="15.75" customHeight="1">
      <c r="F408" s="11"/>
    </row>
    <row r="409" ht="15.75" customHeight="1">
      <c r="F409" s="11"/>
    </row>
    <row r="410" ht="15.75" customHeight="1">
      <c r="F410" s="11"/>
    </row>
    <row r="411" ht="15.75" customHeight="1">
      <c r="F411" s="11"/>
    </row>
    <row r="412" ht="15.75" customHeight="1">
      <c r="F412" s="11"/>
    </row>
    <row r="413" ht="15.75" customHeight="1">
      <c r="F413" s="11"/>
    </row>
    <row r="414" ht="15.75" customHeight="1">
      <c r="F414" s="11"/>
    </row>
    <row r="415" ht="15.75" customHeight="1">
      <c r="F415" s="11"/>
    </row>
    <row r="416" ht="15.75" customHeight="1">
      <c r="F416" s="11"/>
    </row>
    <row r="417" ht="15.75" customHeight="1">
      <c r="F417" s="11"/>
    </row>
    <row r="418" ht="15.75" customHeight="1">
      <c r="F418" s="11"/>
    </row>
    <row r="419" ht="15.75" customHeight="1">
      <c r="F419" s="11"/>
    </row>
    <row r="420" ht="15.75" customHeight="1">
      <c r="F420" s="11"/>
    </row>
    <row r="421" ht="15.75" customHeight="1">
      <c r="F421" s="11"/>
    </row>
    <row r="422" ht="15.75" customHeight="1">
      <c r="F422" s="11"/>
    </row>
    <row r="423" ht="15.75" customHeight="1">
      <c r="F423" s="11"/>
    </row>
    <row r="424" ht="15.75" customHeight="1">
      <c r="F424" s="11"/>
    </row>
    <row r="425" ht="15.75" customHeight="1">
      <c r="F425" s="11"/>
    </row>
    <row r="426" ht="15.75" customHeight="1">
      <c r="F426" s="11"/>
    </row>
    <row r="427" ht="15.75" customHeight="1">
      <c r="F427" s="11"/>
    </row>
    <row r="428" ht="15.75" customHeight="1">
      <c r="F428" s="11"/>
    </row>
    <row r="429" ht="15.75" customHeight="1">
      <c r="F429" s="11"/>
    </row>
    <row r="430" ht="15.75" customHeight="1">
      <c r="F430" s="11"/>
    </row>
    <row r="431" ht="15.75" customHeight="1">
      <c r="F431" s="11"/>
    </row>
    <row r="432" ht="15.75" customHeight="1">
      <c r="F432" s="11"/>
    </row>
    <row r="433" ht="15.75" customHeight="1">
      <c r="F433" s="11"/>
    </row>
    <row r="434" ht="15.75" customHeight="1">
      <c r="F434" s="11"/>
    </row>
    <row r="435" ht="15.75" customHeight="1">
      <c r="F435" s="11"/>
    </row>
    <row r="436" ht="15.75" customHeight="1">
      <c r="F436" s="11"/>
    </row>
    <row r="437" ht="15.75" customHeight="1">
      <c r="F437" s="11"/>
    </row>
    <row r="438" ht="15.75" customHeight="1">
      <c r="F438" s="11"/>
    </row>
    <row r="439" ht="15.75" customHeight="1">
      <c r="F439" s="11"/>
    </row>
    <row r="440" ht="15.75" customHeight="1">
      <c r="F440" s="11"/>
    </row>
    <row r="441" ht="15.75" customHeight="1">
      <c r="F441" s="11"/>
    </row>
    <row r="442" ht="15.75" customHeight="1">
      <c r="F442" s="11"/>
    </row>
    <row r="443" ht="15.75" customHeight="1">
      <c r="F443" s="11"/>
    </row>
    <row r="444" ht="15.75" customHeight="1">
      <c r="F444" s="11"/>
    </row>
    <row r="445" ht="15.75" customHeight="1">
      <c r="F445" s="11"/>
    </row>
    <row r="446" ht="15.75" customHeight="1">
      <c r="F446" s="11"/>
    </row>
    <row r="447" ht="15.75" customHeight="1">
      <c r="F447" s="11"/>
    </row>
    <row r="448" ht="15.75" customHeight="1">
      <c r="F448" s="11"/>
    </row>
    <row r="449" ht="15.75" customHeight="1">
      <c r="F449" s="11"/>
    </row>
    <row r="450" ht="15.75" customHeight="1">
      <c r="F450" s="11"/>
    </row>
    <row r="451" ht="15.75" customHeight="1">
      <c r="F451" s="11"/>
    </row>
    <row r="452" ht="15.75" customHeight="1">
      <c r="F452" s="11"/>
    </row>
    <row r="453" ht="15.75" customHeight="1">
      <c r="F453" s="11"/>
    </row>
    <row r="454" ht="15.75" customHeight="1">
      <c r="F454" s="11"/>
    </row>
    <row r="455" ht="15.75" customHeight="1">
      <c r="F455" s="11"/>
    </row>
    <row r="456" ht="15.75" customHeight="1">
      <c r="F456" s="11"/>
    </row>
    <row r="457" ht="15.75" customHeight="1">
      <c r="F457" s="11"/>
    </row>
    <row r="458" ht="15.75" customHeight="1">
      <c r="F458" s="11"/>
    </row>
    <row r="459" ht="15.75" customHeight="1">
      <c r="F459" s="11"/>
    </row>
    <row r="460" ht="15.75" customHeight="1">
      <c r="F460" s="11"/>
    </row>
    <row r="461" ht="15.75" customHeight="1">
      <c r="F461" s="11"/>
    </row>
    <row r="462" ht="15.75" customHeight="1">
      <c r="F462" s="11"/>
    </row>
    <row r="463" ht="15.75" customHeight="1">
      <c r="F463" s="11"/>
    </row>
    <row r="464" ht="15.75" customHeight="1">
      <c r="F464" s="11"/>
    </row>
    <row r="465" ht="15.75" customHeight="1">
      <c r="F465" s="11"/>
    </row>
    <row r="466" ht="15.75" customHeight="1">
      <c r="F466" s="11"/>
    </row>
    <row r="467" ht="15.75" customHeight="1">
      <c r="F467" s="11"/>
    </row>
    <row r="468" ht="15.75" customHeight="1">
      <c r="F468" s="11"/>
    </row>
    <row r="469" ht="15.75" customHeight="1">
      <c r="F469" s="11"/>
    </row>
    <row r="470" ht="15.75" customHeight="1">
      <c r="F470" s="11"/>
    </row>
    <row r="471" ht="15.75" customHeight="1">
      <c r="F471" s="11"/>
    </row>
    <row r="472" ht="15.75" customHeight="1">
      <c r="F472" s="11"/>
    </row>
    <row r="473" ht="15.75" customHeight="1">
      <c r="F473" s="11"/>
    </row>
    <row r="474" ht="15.75" customHeight="1">
      <c r="F474" s="11"/>
    </row>
    <row r="475" ht="15.75" customHeight="1">
      <c r="F475" s="11"/>
    </row>
    <row r="476" ht="15.75" customHeight="1">
      <c r="F476" s="11"/>
    </row>
    <row r="477" ht="15.75" customHeight="1">
      <c r="F477" s="11"/>
    </row>
    <row r="478" ht="15.75" customHeight="1">
      <c r="F478" s="11"/>
    </row>
    <row r="479" ht="15.75" customHeight="1">
      <c r="F479" s="11"/>
    </row>
    <row r="480" ht="15.75" customHeight="1">
      <c r="F480" s="11"/>
    </row>
    <row r="481" ht="15.75" customHeight="1">
      <c r="F481" s="11"/>
    </row>
    <row r="482" ht="15.75" customHeight="1">
      <c r="F482" s="11"/>
    </row>
    <row r="483" ht="15.75" customHeight="1">
      <c r="F483" s="11"/>
    </row>
    <row r="484" ht="15.75" customHeight="1">
      <c r="F484" s="11"/>
    </row>
    <row r="485" ht="15.75" customHeight="1">
      <c r="F485" s="11"/>
    </row>
    <row r="486" ht="15.75" customHeight="1">
      <c r="F486" s="11"/>
    </row>
    <row r="487" ht="15.75" customHeight="1">
      <c r="F487" s="11"/>
    </row>
    <row r="488" ht="15.75" customHeight="1">
      <c r="F488" s="11"/>
    </row>
    <row r="489" ht="15.75" customHeight="1">
      <c r="F489" s="11"/>
    </row>
    <row r="490" ht="15.75" customHeight="1">
      <c r="F490" s="11"/>
    </row>
    <row r="491" ht="15.75" customHeight="1">
      <c r="F491" s="11"/>
    </row>
    <row r="492" ht="15.75" customHeight="1">
      <c r="F492" s="11"/>
    </row>
    <row r="493" ht="15.75" customHeight="1">
      <c r="F493" s="11"/>
    </row>
    <row r="494" ht="15.75" customHeight="1">
      <c r="F494" s="11"/>
    </row>
    <row r="495" ht="15.75" customHeight="1">
      <c r="F495" s="11"/>
    </row>
    <row r="496" ht="15.75" customHeight="1">
      <c r="F496" s="11"/>
    </row>
    <row r="497" ht="15.75" customHeight="1">
      <c r="F497" s="11"/>
    </row>
    <row r="498" ht="15.75" customHeight="1">
      <c r="F498" s="11"/>
    </row>
    <row r="499" ht="15.75" customHeight="1">
      <c r="F499" s="11"/>
    </row>
    <row r="500" ht="15.75" customHeight="1">
      <c r="F500" s="11"/>
    </row>
    <row r="501" ht="15.75" customHeight="1">
      <c r="F501" s="11"/>
    </row>
    <row r="502" ht="15.75" customHeight="1">
      <c r="F502" s="11"/>
    </row>
    <row r="503" ht="15.75" customHeight="1">
      <c r="F503" s="11"/>
    </row>
    <row r="504" ht="15.75" customHeight="1">
      <c r="F504" s="11"/>
    </row>
    <row r="505" ht="15.75" customHeight="1">
      <c r="F505" s="11"/>
    </row>
    <row r="506" ht="15.75" customHeight="1">
      <c r="F506" s="11"/>
    </row>
    <row r="507" ht="15.75" customHeight="1">
      <c r="F507" s="11"/>
    </row>
    <row r="508" ht="15.75" customHeight="1">
      <c r="F508" s="11"/>
    </row>
    <row r="509" ht="15.75" customHeight="1">
      <c r="F509" s="11"/>
    </row>
    <row r="510" ht="15.75" customHeight="1">
      <c r="F510" s="11"/>
    </row>
    <row r="511" ht="15.75" customHeight="1">
      <c r="F511" s="11"/>
    </row>
    <row r="512" ht="15.75" customHeight="1">
      <c r="F512" s="11"/>
    </row>
    <row r="513" ht="15.75" customHeight="1">
      <c r="F513" s="11"/>
    </row>
    <row r="514" ht="15.75" customHeight="1">
      <c r="F514" s="11"/>
    </row>
    <row r="515" ht="15.75" customHeight="1">
      <c r="F515" s="11"/>
    </row>
    <row r="516" ht="15.75" customHeight="1">
      <c r="F516" s="11"/>
    </row>
    <row r="517" ht="15.75" customHeight="1">
      <c r="F517" s="11"/>
    </row>
    <row r="518" ht="15.75" customHeight="1">
      <c r="F518" s="11"/>
    </row>
    <row r="519" ht="15.75" customHeight="1">
      <c r="F519" s="11"/>
    </row>
    <row r="520" ht="15.75" customHeight="1">
      <c r="F520" s="11"/>
    </row>
    <row r="521" ht="15.75" customHeight="1">
      <c r="F521" s="11"/>
    </row>
    <row r="522" ht="15.75" customHeight="1">
      <c r="F522" s="11"/>
    </row>
    <row r="523" ht="15.75" customHeight="1">
      <c r="F523" s="11"/>
    </row>
    <row r="524" ht="15.75" customHeight="1">
      <c r="F524" s="11"/>
    </row>
    <row r="525" ht="15.75" customHeight="1">
      <c r="F525" s="11"/>
    </row>
    <row r="526" ht="15.75" customHeight="1">
      <c r="F526" s="11"/>
    </row>
    <row r="527" ht="15.75" customHeight="1">
      <c r="F527" s="11"/>
    </row>
    <row r="528" ht="15.75" customHeight="1">
      <c r="F528" s="11"/>
    </row>
    <row r="529" ht="15.75" customHeight="1">
      <c r="F529" s="11"/>
    </row>
    <row r="530" ht="15.75" customHeight="1">
      <c r="F530" s="11"/>
    </row>
    <row r="531" ht="15.75" customHeight="1">
      <c r="F531" s="11"/>
    </row>
    <row r="532" ht="15.75" customHeight="1">
      <c r="F532" s="11"/>
    </row>
    <row r="533" ht="15.75" customHeight="1">
      <c r="F533" s="11"/>
    </row>
    <row r="534" ht="15.75" customHeight="1">
      <c r="F534" s="11"/>
    </row>
    <row r="535" ht="15.75" customHeight="1">
      <c r="F535" s="11"/>
    </row>
    <row r="536" ht="15.75" customHeight="1">
      <c r="F536" s="11"/>
    </row>
    <row r="537" ht="15.75" customHeight="1">
      <c r="F537" s="11"/>
    </row>
    <row r="538" ht="15.75" customHeight="1">
      <c r="F538" s="11"/>
    </row>
    <row r="539" ht="15.75" customHeight="1">
      <c r="F539" s="11"/>
    </row>
    <row r="540" ht="15.75" customHeight="1">
      <c r="F540" s="11"/>
    </row>
    <row r="541" ht="15.75" customHeight="1">
      <c r="F541" s="11"/>
    </row>
    <row r="542" ht="15.75" customHeight="1">
      <c r="F542" s="11"/>
    </row>
    <row r="543" ht="15.75" customHeight="1">
      <c r="F543" s="11"/>
    </row>
    <row r="544" ht="15.75" customHeight="1">
      <c r="F544" s="11"/>
    </row>
    <row r="545" ht="15.75" customHeight="1">
      <c r="F545" s="11"/>
    </row>
    <row r="546" ht="15.75" customHeight="1">
      <c r="F546" s="11"/>
    </row>
    <row r="547" ht="15.75" customHeight="1">
      <c r="F547" s="11"/>
    </row>
    <row r="548" ht="15.75" customHeight="1">
      <c r="F548" s="11"/>
    </row>
    <row r="549" ht="15.75" customHeight="1">
      <c r="F549" s="11"/>
    </row>
    <row r="550" ht="15.75" customHeight="1">
      <c r="F550" s="11"/>
    </row>
    <row r="551" ht="15.75" customHeight="1">
      <c r="F551" s="11"/>
    </row>
    <row r="552" ht="15.75" customHeight="1">
      <c r="F552" s="11"/>
    </row>
    <row r="553" ht="15.75" customHeight="1">
      <c r="F553" s="11"/>
    </row>
    <row r="554" ht="15.75" customHeight="1">
      <c r="F554" s="11"/>
    </row>
    <row r="555" ht="15.75" customHeight="1">
      <c r="F555" s="11"/>
    </row>
    <row r="556" ht="15.75" customHeight="1">
      <c r="F556" s="11"/>
    </row>
    <row r="557" ht="15.75" customHeight="1">
      <c r="F557" s="11"/>
    </row>
    <row r="558" ht="15.75" customHeight="1">
      <c r="F558" s="11"/>
    </row>
    <row r="559" ht="15.75" customHeight="1">
      <c r="F559" s="11"/>
    </row>
    <row r="560" ht="15.75" customHeight="1">
      <c r="F560" s="11"/>
    </row>
    <row r="561" ht="15.75" customHeight="1">
      <c r="F561" s="11"/>
    </row>
    <row r="562" ht="15.75" customHeight="1">
      <c r="F562" s="11"/>
    </row>
    <row r="563" ht="15.75" customHeight="1">
      <c r="F563" s="11"/>
    </row>
    <row r="564" ht="15.75" customHeight="1">
      <c r="F564" s="11"/>
    </row>
    <row r="565" ht="15.75" customHeight="1">
      <c r="F565" s="11"/>
    </row>
    <row r="566" ht="15.75" customHeight="1">
      <c r="F566" s="11"/>
    </row>
    <row r="567" ht="15.75" customHeight="1">
      <c r="F567" s="11"/>
    </row>
    <row r="568" ht="15.75" customHeight="1">
      <c r="F568" s="11"/>
    </row>
    <row r="569" ht="15.75" customHeight="1">
      <c r="F569" s="11"/>
    </row>
    <row r="570" ht="15.75" customHeight="1">
      <c r="F570" s="11"/>
    </row>
    <row r="571" ht="15.75" customHeight="1">
      <c r="F571" s="11"/>
    </row>
    <row r="572" ht="15.75" customHeight="1">
      <c r="F572" s="11"/>
    </row>
    <row r="573" ht="15.75" customHeight="1">
      <c r="F573" s="11"/>
    </row>
    <row r="574" ht="15.75" customHeight="1">
      <c r="F574" s="11"/>
    </row>
    <row r="575" ht="15.75" customHeight="1">
      <c r="F575" s="11"/>
    </row>
    <row r="576" ht="15.75" customHeight="1">
      <c r="F576" s="11"/>
    </row>
    <row r="577" ht="15.75" customHeight="1">
      <c r="F577" s="11"/>
    </row>
    <row r="578" ht="15.75" customHeight="1">
      <c r="F578" s="11"/>
    </row>
    <row r="579" ht="15.75" customHeight="1">
      <c r="F579" s="11"/>
    </row>
    <row r="580" ht="15.75" customHeight="1">
      <c r="F580" s="11"/>
    </row>
    <row r="581" ht="15.75" customHeight="1">
      <c r="F581" s="11"/>
    </row>
    <row r="582" ht="15.75" customHeight="1">
      <c r="F582" s="11"/>
    </row>
    <row r="583" ht="15.75" customHeight="1">
      <c r="F583" s="11"/>
    </row>
    <row r="584" ht="15.75" customHeight="1">
      <c r="F584" s="11"/>
    </row>
    <row r="585" ht="15.75" customHeight="1">
      <c r="F585" s="11"/>
    </row>
    <row r="586" ht="15.75" customHeight="1">
      <c r="F586" s="11"/>
    </row>
    <row r="587" ht="15.75" customHeight="1">
      <c r="F587" s="11"/>
    </row>
    <row r="588" ht="15.75" customHeight="1">
      <c r="F588" s="11"/>
    </row>
    <row r="589" ht="15.75" customHeight="1">
      <c r="F589" s="11"/>
    </row>
    <row r="590" ht="15.75" customHeight="1">
      <c r="F590" s="11"/>
    </row>
    <row r="591" ht="15.75" customHeight="1">
      <c r="F591" s="11"/>
    </row>
    <row r="592" ht="15.75" customHeight="1">
      <c r="F592" s="11"/>
    </row>
    <row r="593" ht="15.75" customHeight="1">
      <c r="F593" s="11"/>
    </row>
    <row r="594" ht="15.75" customHeight="1">
      <c r="F594" s="11"/>
    </row>
    <row r="595" ht="15.75" customHeight="1">
      <c r="F595" s="11"/>
    </row>
    <row r="596" ht="15.75" customHeight="1">
      <c r="F596" s="11"/>
    </row>
    <row r="597" ht="15.75" customHeight="1">
      <c r="F597" s="11"/>
    </row>
    <row r="598" ht="15.75" customHeight="1">
      <c r="F598" s="11"/>
    </row>
    <row r="599" ht="15.75" customHeight="1">
      <c r="F599" s="11"/>
    </row>
    <row r="600" ht="15.75" customHeight="1">
      <c r="F600" s="11"/>
    </row>
    <row r="601" ht="15.75" customHeight="1">
      <c r="F601" s="11"/>
    </row>
    <row r="602" ht="15.75" customHeight="1">
      <c r="F602" s="11"/>
    </row>
    <row r="603" ht="15.75" customHeight="1">
      <c r="F603" s="11"/>
    </row>
    <row r="604" ht="15.75" customHeight="1">
      <c r="F604" s="11"/>
    </row>
    <row r="605" ht="15.75" customHeight="1">
      <c r="F605" s="11"/>
    </row>
    <row r="606" ht="15.75" customHeight="1">
      <c r="F606" s="11"/>
    </row>
    <row r="607" ht="15.75" customHeight="1">
      <c r="F607" s="11"/>
    </row>
    <row r="608" ht="15.75" customHeight="1">
      <c r="F608" s="11"/>
    </row>
    <row r="609" ht="15.75" customHeight="1">
      <c r="F609" s="11"/>
    </row>
    <row r="610" ht="15.75" customHeight="1">
      <c r="F610" s="11"/>
    </row>
    <row r="611" ht="15.75" customHeight="1">
      <c r="F611" s="11"/>
    </row>
    <row r="612" ht="15.75" customHeight="1">
      <c r="F612" s="11"/>
    </row>
    <row r="613" ht="15.75" customHeight="1">
      <c r="F613" s="11"/>
    </row>
    <row r="614" ht="15.75" customHeight="1">
      <c r="F614" s="11"/>
    </row>
    <row r="615" ht="15.75" customHeight="1">
      <c r="F615" s="11"/>
    </row>
    <row r="616" ht="15.75" customHeight="1">
      <c r="F616" s="11"/>
    </row>
    <row r="617" ht="15.75" customHeight="1">
      <c r="F617" s="11"/>
    </row>
    <row r="618" ht="15.75" customHeight="1">
      <c r="F618" s="11"/>
    </row>
    <row r="619" ht="15.75" customHeight="1">
      <c r="F619" s="11"/>
    </row>
    <row r="620" ht="15.75" customHeight="1">
      <c r="F620" s="11"/>
    </row>
    <row r="621" ht="15.75" customHeight="1">
      <c r="F621" s="11"/>
    </row>
    <row r="622" ht="15.75" customHeight="1">
      <c r="F622" s="11"/>
    </row>
    <row r="623" ht="15.75" customHeight="1">
      <c r="F623" s="11"/>
    </row>
    <row r="624" ht="15.75" customHeight="1">
      <c r="F624" s="11"/>
    </row>
    <row r="625" ht="15.75" customHeight="1">
      <c r="F625" s="11"/>
    </row>
    <row r="626" ht="15.75" customHeight="1">
      <c r="F626" s="11"/>
    </row>
    <row r="627" ht="15.75" customHeight="1">
      <c r="F627" s="11"/>
    </row>
    <row r="628" ht="15.75" customHeight="1">
      <c r="F628" s="11"/>
    </row>
    <row r="629" ht="15.75" customHeight="1">
      <c r="F629" s="11"/>
    </row>
    <row r="630" ht="15.75" customHeight="1">
      <c r="F630" s="11"/>
    </row>
    <row r="631" ht="15.75" customHeight="1">
      <c r="F631" s="11"/>
    </row>
    <row r="632" ht="15.75" customHeight="1">
      <c r="F632" s="11"/>
    </row>
    <row r="633" ht="15.75" customHeight="1">
      <c r="F633" s="11"/>
    </row>
    <row r="634" ht="15.75" customHeight="1">
      <c r="F634" s="11"/>
    </row>
    <row r="635" ht="15.75" customHeight="1">
      <c r="F635" s="11"/>
    </row>
    <row r="636" ht="15.75" customHeight="1">
      <c r="F636" s="11"/>
    </row>
    <row r="637" ht="15.75" customHeight="1">
      <c r="F637" s="11"/>
    </row>
    <row r="638" ht="15.75" customHeight="1">
      <c r="F638" s="11"/>
    </row>
    <row r="639" ht="15.75" customHeight="1">
      <c r="F639" s="11"/>
    </row>
    <row r="640" ht="15.75" customHeight="1">
      <c r="F640" s="11"/>
    </row>
    <row r="641" ht="15.75" customHeight="1">
      <c r="F641" s="11"/>
    </row>
    <row r="642" ht="15.75" customHeight="1">
      <c r="F642" s="11"/>
    </row>
    <row r="643" ht="15.75" customHeight="1">
      <c r="F643" s="11"/>
    </row>
    <row r="644" ht="15.75" customHeight="1">
      <c r="F644" s="11"/>
    </row>
    <row r="645" ht="15.75" customHeight="1">
      <c r="F645" s="11"/>
    </row>
    <row r="646" ht="15.75" customHeight="1">
      <c r="F646" s="11"/>
    </row>
    <row r="647" ht="15.75" customHeight="1">
      <c r="F647" s="11"/>
    </row>
    <row r="648" ht="15.75" customHeight="1">
      <c r="F648" s="11"/>
    </row>
    <row r="649" ht="15.75" customHeight="1">
      <c r="F649" s="11"/>
    </row>
    <row r="650" ht="15.75" customHeight="1">
      <c r="F650" s="11"/>
    </row>
    <row r="651" ht="15.75" customHeight="1">
      <c r="F651" s="11"/>
    </row>
    <row r="652" ht="15.75" customHeight="1">
      <c r="F652" s="11"/>
    </row>
    <row r="653" ht="15.75" customHeight="1">
      <c r="F653" s="11"/>
    </row>
    <row r="654" ht="15.75" customHeight="1">
      <c r="F654" s="11"/>
    </row>
    <row r="655" ht="15.75" customHeight="1">
      <c r="F655" s="11"/>
    </row>
    <row r="656" ht="15.75" customHeight="1">
      <c r="F656" s="11"/>
    </row>
    <row r="657" ht="15.75" customHeight="1">
      <c r="F657" s="11"/>
    </row>
    <row r="658" ht="15.75" customHeight="1">
      <c r="F658" s="11"/>
    </row>
    <row r="659" ht="15.75" customHeight="1">
      <c r="F659" s="11"/>
    </row>
    <row r="660" ht="15.75" customHeight="1">
      <c r="F660" s="11"/>
    </row>
    <row r="661" ht="15.75" customHeight="1">
      <c r="F661" s="11"/>
    </row>
    <row r="662" ht="15.75" customHeight="1">
      <c r="F662" s="11"/>
    </row>
    <row r="663" ht="15.75" customHeight="1">
      <c r="F663" s="11"/>
    </row>
    <row r="664" ht="15.75" customHeight="1">
      <c r="F664" s="11"/>
    </row>
    <row r="665" ht="15.75" customHeight="1">
      <c r="F665" s="11"/>
    </row>
    <row r="666" ht="15.75" customHeight="1">
      <c r="F666" s="11"/>
    </row>
    <row r="667" ht="15.75" customHeight="1">
      <c r="F667" s="11"/>
    </row>
    <row r="668" ht="15.75" customHeight="1">
      <c r="F668" s="11"/>
    </row>
    <row r="669" ht="15.75" customHeight="1">
      <c r="F669" s="11"/>
    </row>
    <row r="670" ht="15.75" customHeight="1">
      <c r="F670" s="11"/>
    </row>
    <row r="671" ht="15.75" customHeight="1">
      <c r="F671" s="11"/>
    </row>
    <row r="672" ht="15.75" customHeight="1">
      <c r="F672" s="11"/>
    </row>
    <row r="673" ht="15.75" customHeight="1">
      <c r="F673" s="11"/>
    </row>
    <row r="674" ht="15.75" customHeight="1">
      <c r="F674" s="11"/>
    </row>
    <row r="675" ht="15.75" customHeight="1">
      <c r="F675" s="11"/>
    </row>
    <row r="676" ht="15.75" customHeight="1">
      <c r="F676" s="11"/>
    </row>
    <row r="677" ht="15.75" customHeight="1">
      <c r="F677" s="11"/>
    </row>
    <row r="678" ht="15.75" customHeight="1">
      <c r="F678" s="11"/>
    </row>
    <row r="679" ht="15.75" customHeight="1">
      <c r="F679" s="11"/>
    </row>
    <row r="680" ht="15.75" customHeight="1">
      <c r="F680" s="11"/>
    </row>
    <row r="681" ht="15.75" customHeight="1">
      <c r="F681" s="11"/>
    </row>
    <row r="682" ht="15.75" customHeight="1">
      <c r="F682" s="11"/>
    </row>
    <row r="683" ht="15.75" customHeight="1">
      <c r="F683" s="11"/>
    </row>
    <row r="684" ht="15.75" customHeight="1">
      <c r="F684" s="11"/>
    </row>
    <row r="685" ht="15.75" customHeight="1">
      <c r="F685" s="11"/>
    </row>
    <row r="686" ht="15.75" customHeight="1">
      <c r="F686" s="11"/>
    </row>
    <row r="687" ht="15.75" customHeight="1">
      <c r="F687" s="11"/>
    </row>
    <row r="688" ht="15.75" customHeight="1">
      <c r="F688" s="11"/>
    </row>
    <row r="689" ht="15.75" customHeight="1">
      <c r="F689" s="11"/>
    </row>
    <row r="690" ht="15.75" customHeight="1">
      <c r="F690" s="11"/>
    </row>
    <row r="691" ht="15.75" customHeight="1">
      <c r="F691" s="11"/>
    </row>
    <row r="692" ht="15.75" customHeight="1">
      <c r="F692" s="11"/>
    </row>
    <row r="693" ht="15.75" customHeight="1">
      <c r="F693" s="11"/>
    </row>
    <row r="694" ht="15.75" customHeight="1">
      <c r="F694" s="11"/>
    </row>
    <row r="695" ht="15.75" customHeight="1">
      <c r="F695" s="11"/>
    </row>
    <row r="696" ht="15.75" customHeight="1">
      <c r="F696" s="11"/>
    </row>
    <row r="697" ht="15.75" customHeight="1">
      <c r="F697" s="11"/>
    </row>
    <row r="698" ht="15.75" customHeight="1">
      <c r="F698" s="11"/>
    </row>
    <row r="699" ht="15.75" customHeight="1">
      <c r="F699" s="11"/>
    </row>
    <row r="700" ht="15.75" customHeight="1">
      <c r="F700" s="11"/>
    </row>
    <row r="701" ht="15.75" customHeight="1">
      <c r="F701" s="11"/>
    </row>
    <row r="702" ht="15.75" customHeight="1">
      <c r="F702" s="11"/>
    </row>
    <row r="703" ht="15.75" customHeight="1">
      <c r="F703" s="11"/>
    </row>
    <row r="704" ht="15.75" customHeight="1">
      <c r="F704" s="11"/>
    </row>
    <row r="705" ht="15.75" customHeight="1">
      <c r="F705" s="11"/>
    </row>
    <row r="706" ht="15.75" customHeight="1">
      <c r="F706" s="11"/>
    </row>
    <row r="707" ht="15.75" customHeight="1">
      <c r="F707" s="11"/>
    </row>
    <row r="708" ht="15.75" customHeight="1">
      <c r="F708" s="11"/>
    </row>
    <row r="709" ht="15.75" customHeight="1">
      <c r="F709" s="11"/>
    </row>
    <row r="710" ht="15.75" customHeight="1">
      <c r="F710" s="11"/>
    </row>
    <row r="711" ht="15.75" customHeight="1">
      <c r="F711" s="11"/>
    </row>
    <row r="712" ht="15.75" customHeight="1">
      <c r="F712" s="11"/>
    </row>
    <row r="713" ht="15.75" customHeight="1">
      <c r="F713" s="11"/>
    </row>
    <row r="714" ht="15.75" customHeight="1">
      <c r="F714" s="11"/>
    </row>
    <row r="715" ht="15.75" customHeight="1">
      <c r="F715" s="11"/>
    </row>
    <row r="716" ht="15.75" customHeight="1">
      <c r="F716" s="11"/>
    </row>
    <row r="717" ht="15.75" customHeight="1">
      <c r="F717" s="11"/>
    </row>
    <row r="718" ht="15.75" customHeight="1">
      <c r="F718" s="11"/>
    </row>
    <row r="719" ht="15.75" customHeight="1">
      <c r="F719" s="11"/>
    </row>
    <row r="720" ht="15.75" customHeight="1">
      <c r="F720" s="11"/>
    </row>
    <row r="721" ht="15.75" customHeight="1">
      <c r="F721" s="11"/>
    </row>
    <row r="722" ht="15.75" customHeight="1">
      <c r="F722" s="11"/>
    </row>
    <row r="723" ht="15.75" customHeight="1">
      <c r="F723" s="11"/>
    </row>
    <row r="724" ht="15.75" customHeight="1">
      <c r="F724" s="11"/>
    </row>
    <row r="725" ht="15.75" customHeight="1">
      <c r="F725" s="11"/>
    </row>
    <row r="726" ht="15.75" customHeight="1">
      <c r="F726" s="11"/>
    </row>
    <row r="727" ht="15.75" customHeight="1">
      <c r="F727" s="11"/>
    </row>
    <row r="728" ht="15.75" customHeight="1">
      <c r="F728" s="11"/>
    </row>
    <row r="729" ht="15.75" customHeight="1">
      <c r="F729" s="11"/>
    </row>
    <row r="730" ht="15.75" customHeight="1">
      <c r="F730" s="11"/>
    </row>
    <row r="731" ht="15.75" customHeight="1">
      <c r="F731" s="11"/>
    </row>
    <row r="732" ht="15.75" customHeight="1">
      <c r="F732" s="11"/>
    </row>
    <row r="733" ht="15.75" customHeight="1">
      <c r="F733" s="11"/>
    </row>
    <row r="734" ht="15.75" customHeight="1">
      <c r="F734" s="11"/>
    </row>
    <row r="735" ht="15.75" customHeight="1">
      <c r="F735" s="11"/>
    </row>
    <row r="736" ht="15.75" customHeight="1">
      <c r="F736" s="11"/>
    </row>
    <row r="737" ht="15.75" customHeight="1">
      <c r="F737" s="11"/>
    </row>
    <row r="738" ht="15.75" customHeight="1">
      <c r="F738" s="11"/>
    </row>
    <row r="739" ht="15.75" customHeight="1">
      <c r="F739" s="11"/>
    </row>
    <row r="740" ht="15.75" customHeight="1">
      <c r="F740" s="11"/>
    </row>
    <row r="741" ht="15.75" customHeight="1">
      <c r="F741" s="11"/>
    </row>
    <row r="742" ht="15.75" customHeight="1">
      <c r="F742" s="11"/>
    </row>
    <row r="743" ht="15.75" customHeight="1">
      <c r="F743" s="11"/>
    </row>
    <row r="744" ht="15.75" customHeight="1">
      <c r="F744" s="11"/>
    </row>
    <row r="745" ht="15.75" customHeight="1">
      <c r="F745" s="11"/>
    </row>
    <row r="746" ht="15.75" customHeight="1">
      <c r="F746" s="11"/>
    </row>
    <row r="747" ht="15.75" customHeight="1">
      <c r="F747" s="11"/>
    </row>
    <row r="748" ht="15.75" customHeight="1">
      <c r="F748" s="11"/>
    </row>
    <row r="749" ht="15.75" customHeight="1">
      <c r="F749" s="11"/>
    </row>
    <row r="750" ht="15.75" customHeight="1">
      <c r="F750" s="11"/>
    </row>
    <row r="751" ht="15.75" customHeight="1">
      <c r="F751" s="11"/>
    </row>
    <row r="752" ht="15.75" customHeight="1">
      <c r="F752" s="11"/>
    </row>
    <row r="753" ht="15.75" customHeight="1">
      <c r="F753" s="11"/>
    </row>
    <row r="754" ht="15.75" customHeight="1">
      <c r="F754" s="11"/>
    </row>
    <row r="755" ht="15.75" customHeight="1">
      <c r="F755" s="11"/>
    </row>
    <row r="756" ht="15.75" customHeight="1">
      <c r="F756" s="11"/>
    </row>
    <row r="757" ht="15.75" customHeight="1">
      <c r="F757" s="11"/>
    </row>
    <row r="758" ht="15.75" customHeight="1">
      <c r="F758" s="11"/>
    </row>
    <row r="759" ht="15.75" customHeight="1">
      <c r="F759" s="11"/>
    </row>
    <row r="760" ht="15.75" customHeight="1">
      <c r="F760" s="11"/>
    </row>
    <row r="761" ht="15.75" customHeight="1">
      <c r="F761" s="11"/>
    </row>
    <row r="762" ht="15.75" customHeight="1">
      <c r="F762" s="11"/>
    </row>
    <row r="763" ht="15.75" customHeight="1">
      <c r="F763" s="11"/>
    </row>
    <row r="764" ht="15.75" customHeight="1">
      <c r="F764" s="11"/>
    </row>
    <row r="765" ht="15.75" customHeight="1">
      <c r="F765" s="11"/>
    </row>
    <row r="766" ht="15.75" customHeight="1">
      <c r="F766" s="11"/>
    </row>
    <row r="767" ht="15.75" customHeight="1">
      <c r="F767" s="11"/>
    </row>
    <row r="768" ht="15.75" customHeight="1">
      <c r="F768" s="11"/>
    </row>
    <row r="769" ht="15.75" customHeight="1">
      <c r="F769" s="11"/>
    </row>
    <row r="770" ht="15.75" customHeight="1">
      <c r="F770" s="11"/>
    </row>
    <row r="771" ht="15.75" customHeight="1">
      <c r="F771" s="11"/>
    </row>
    <row r="772" ht="15.75" customHeight="1">
      <c r="F772" s="11"/>
    </row>
    <row r="773" ht="15.75" customHeight="1">
      <c r="F773" s="11"/>
    </row>
    <row r="774" ht="15.75" customHeight="1">
      <c r="F774" s="11"/>
    </row>
    <row r="775" ht="15.75" customHeight="1">
      <c r="F775" s="11"/>
    </row>
    <row r="776" ht="15.75" customHeight="1">
      <c r="F776" s="11"/>
    </row>
    <row r="777" ht="15.75" customHeight="1">
      <c r="F777" s="11"/>
    </row>
    <row r="778" ht="15.75" customHeight="1">
      <c r="F778" s="11"/>
    </row>
    <row r="779" ht="15.75" customHeight="1">
      <c r="F779" s="11"/>
    </row>
    <row r="780" ht="15.75" customHeight="1">
      <c r="F780" s="11"/>
    </row>
    <row r="781" ht="15.75" customHeight="1">
      <c r="F781" s="11"/>
    </row>
    <row r="782" ht="15.75" customHeight="1">
      <c r="F782" s="11"/>
    </row>
    <row r="783" ht="15.75" customHeight="1">
      <c r="F783" s="11"/>
    </row>
    <row r="784" ht="15.75" customHeight="1">
      <c r="F784" s="11"/>
    </row>
    <row r="785" ht="15.75" customHeight="1">
      <c r="F785" s="11"/>
    </row>
    <row r="786" ht="15.75" customHeight="1">
      <c r="F786" s="11"/>
    </row>
    <row r="787" ht="15.75" customHeight="1">
      <c r="F787" s="11"/>
    </row>
    <row r="788" ht="15.75" customHeight="1">
      <c r="F788" s="11"/>
    </row>
    <row r="789" ht="15.75" customHeight="1">
      <c r="F789" s="11"/>
    </row>
    <row r="790" ht="15.75" customHeight="1">
      <c r="F790" s="11"/>
    </row>
    <row r="791" ht="15.75" customHeight="1">
      <c r="F791" s="11"/>
    </row>
    <row r="792" ht="15.75" customHeight="1">
      <c r="F792" s="11"/>
    </row>
    <row r="793" ht="15.75" customHeight="1">
      <c r="F793" s="11"/>
    </row>
    <row r="794" ht="15.75" customHeight="1">
      <c r="F794" s="11"/>
    </row>
    <row r="795" ht="15.75" customHeight="1">
      <c r="F795" s="11"/>
    </row>
    <row r="796" ht="15.75" customHeight="1">
      <c r="F796" s="11"/>
    </row>
    <row r="797" ht="15.75" customHeight="1">
      <c r="F797" s="11"/>
    </row>
    <row r="798" ht="15.75" customHeight="1">
      <c r="F798" s="11"/>
    </row>
    <row r="799" ht="15.75" customHeight="1">
      <c r="F799" s="11"/>
    </row>
    <row r="800" ht="15.75" customHeight="1">
      <c r="F800" s="11"/>
    </row>
    <row r="801" ht="15.75" customHeight="1">
      <c r="F801" s="11"/>
    </row>
    <row r="802" ht="15.75" customHeight="1">
      <c r="F802" s="11"/>
    </row>
    <row r="803" ht="15.75" customHeight="1">
      <c r="F803" s="11"/>
    </row>
    <row r="804" ht="15.75" customHeight="1">
      <c r="F804" s="11"/>
    </row>
    <row r="805" ht="15.75" customHeight="1">
      <c r="F805" s="11"/>
    </row>
    <row r="806" ht="15.75" customHeight="1">
      <c r="F806" s="11"/>
    </row>
    <row r="807" ht="15.75" customHeight="1">
      <c r="F807" s="11"/>
    </row>
    <row r="808" ht="15.75" customHeight="1">
      <c r="F808" s="11"/>
    </row>
    <row r="809" ht="15.75" customHeight="1">
      <c r="F809" s="11"/>
    </row>
    <row r="810" ht="15.75" customHeight="1">
      <c r="F810" s="11"/>
    </row>
    <row r="811" ht="15.75" customHeight="1">
      <c r="F811" s="11"/>
    </row>
    <row r="812" ht="15.75" customHeight="1">
      <c r="F812" s="11"/>
    </row>
    <row r="813" ht="15.75" customHeight="1">
      <c r="F813" s="11"/>
    </row>
    <row r="814" ht="15.75" customHeight="1">
      <c r="F814" s="11"/>
    </row>
    <row r="815" ht="15.75" customHeight="1">
      <c r="F815" s="11"/>
    </row>
    <row r="816" ht="15.75" customHeight="1">
      <c r="F816" s="11"/>
    </row>
    <row r="817" ht="15.75" customHeight="1">
      <c r="F817" s="11"/>
    </row>
    <row r="818" ht="15.75" customHeight="1">
      <c r="F818" s="11"/>
    </row>
    <row r="819" ht="15.75" customHeight="1">
      <c r="F819" s="11"/>
    </row>
    <row r="820" ht="15.75" customHeight="1">
      <c r="F820" s="11"/>
    </row>
    <row r="821" ht="15.75" customHeight="1">
      <c r="F821" s="11"/>
    </row>
    <row r="822" ht="15.75" customHeight="1">
      <c r="F822" s="11"/>
    </row>
    <row r="823" ht="15.75" customHeight="1">
      <c r="F823" s="11"/>
    </row>
    <row r="824" ht="15.75" customHeight="1">
      <c r="F824" s="11"/>
    </row>
    <row r="825" ht="15.75" customHeight="1">
      <c r="F825" s="11"/>
    </row>
    <row r="826" ht="15.75" customHeight="1">
      <c r="F826" s="11"/>
    </row>
    <row r="827" ht="15.75" customHeight="1">
      <c r="F827" s="11"/>
    </row>
    <row r="828" ht="15.75" customHeight="1">
      <c r="F828" s="11"/>
    </row>
    <row r="829" ht="15.75" customHeight="1">
      <c r="F829" s="11"/>
    </row>
    <row r="830" ht="15.75" customHeight="1">
      <c r="F830" s="11"/>
    </row>
    <row r="831" ht="15.75" customHeight="1">
      <c r="F831" s="11"/>
    </row>
    <row r="832" ht="15.75" customHeight="1">
      <c r="F832" s="11"/>
    </row>
    <row r="833" ht="15.75" customHeight="1">
      <c r="F833" s="11"/>
    </row>
    <row r="834" ht="15.75" customHeight="1">
      <c r="F834" s="11"/>
    </row>
    <row r="835" ht="15.75" customHeight="1">
      <c r="F835" s="11"/>
    </row>
    <row r="836" ht="15.75" customHeight="1">
      <c r="F836" s="11"/>
    </row>
    <row r="837" ht="15.75" customHeight="1">
      <c r="F837" s="11"/>
    </row>
    <row r="838" ht="15.75" customHeight="1">
      <c r="F838" s="11"/>
    </row>
    <row r="839" ht="15.75" customHeight="1">
      <c r="F839" s="11"/>
    </row>
    <row r="840" ht="15.75" customHeight="1">
      <c r="F840" s="11"/>
    </row>
    <row r="841" ht="15.75" customHeight="1">
      <c r="F841" s="11"/>
    </row>
    <row r="842" ht="15.75" customHeight="1">
      <c r="F842" s="11"/>
    </row>
    <row r="843" ht="15.75" customHeight="1">
      <c r="F843" s="11"/>
    </row>
    <row r="844" ht="15.75" customHeight="1">
      <c r="F844" s="11"/>
    </row>
    <row r="845" ht="15.75" customHeight="1">
      <c r="F845" s="11"/>
    </row>
    <row r="846" ht="15.75" customHeight="1">
      <c r="F846" s="11"/>
    </row>
    <row r="847" ht="15.75" customHeight="1">
      <c r="F847" s="11"/>
    </row>
    <row r="848" ht="15.75" customHeight="1">
      <c r="F848" s="11"/>
    </row>
    <row r="849" ht="15.75" customHeight="1">
      <c r="F849" s="11"/>
    </row>
    <row r="850" ht="15.75" customHeight="1">
      <c r="F850" s="11"/>
    </row>
    <row r="851" ht="15.75" customHeight="1">
      <c r="F851" s="11"/>
    </row>
    <row r="852" ht="15.75" customHeight="1">
      <c r="F852" s="11"/>
    </row>
    <row r="853" ht="15.75" customHeight="1">
      <c r="F853" s="11"/>
    </row>
    <row r="854" ht="15.75" customHeight="1">
      <c r="F854" s="11"/>
    </row>
    <row r="855" ht="15.75" customHeight="1">
      <c r="F855" s="11"/>
    </row>
    <row r="856" ht="15.75" customHeight="1">
      <c r="F856" s="11"/>
    </row>
    <row r="857" ht="15.75" customHeight="1">
      <c r="F857" s="11"/>
    </row>
    <row r="858" ht="15.75" customHeight="1">
      <c r="F858" s="11"/>
    </row>
    <row r="859" ht="15.75" customHeight="1">
      <c r="F859" s="11"/>
    </row>
    <row r="860" ht="15.75" customHeight="1">
      <c r="F860" s="11"/>
    </row>
    <row r="861" ht="15.75" customHeight="1">
      <c r="F861" s="11"/>
    </row>
    <row r="862" ht="15.75" customHeight="1">
      <c r="F862" s="11"/>
    </row>
    <row r="863" ht="15.75" customHeight="1">
      <c r="F863" s="11"/>
    </row>
    <row r="864" ht="15.75" customHeight="1">
      <c r="F864" s="11"/>
    </row>
    <row r="865" ht="15.75" customHeight="1">
      <c r="F865" s="11"/>
    </row>
    <row r="866" ht="15.75" customHeight="1">
      <c r="F866" s="11"/>
    </row>
    <row r="867" ht="15.75" customHeight="1">
      <c r="F867" s="11"/>
    </row>
    <row r="868" ht="15.75" customHeight="1">
      <c r="F868" s="11"/>
    </row>
    <row r="869" ht="15.75" customHeight="1">
      <c r="F869" s="11"/>
    </row>
    <row r="870" ht="15.75" customHeight="1">
      <c r="F870" s="11"/>
    </row>
    <row r="871" ht="15.75" customHeight="1">
      <c r="F871" s="11"/>
    </row>
    <row r="872" ht="15.75" customHeight="1">
      <c r="F872" s="11"/>
    </row>
    <row r="873" ht="15.75" customHeight="1">
      <c r="F873" s="11"/>
    </row>
    <row r="874" ht="15.75" customHeight="1">
      <c r="F874" s="11"/>
    </row>
    <row r="875" ht="15.75" customHeight="1">
      <c r="F875" s="11"/>
    </row>
    <row r="876" ht="15.75" customHeight="1">
      <c r="F876" s="11"/>
    </row>
    <row r="877" ht="15.75" customHeight="1">
      <c r="F877" s="11"/>
    </row>
    <row r="878" ht="15.75" customHeight="1">
      <c r="F878" s="11"/>
    </row>
    <row r="879" ht="15.75" customHeight="1">
      <c r="F879" s="11"/>
    </row>
    <row r="880" ht="15.75" customHeight="1">
      <c r="F880" s="11"/>
    </row>
    <row r="881" ht="15.75" customHeight="1">
      <c r="F881" s="11"/>
    </row>
    <row r="882" ht="15.75" customHeight="1">
      <c r="F882" s="11"/>
    </row>
    <row r="883" ht="15.75" customHeight="1">
      <c r="F883" s="11"/>
    </row>
    <row r="884" ht="15.75" customHeight="1">
      <c r="F884" s="11"/>
    </row>
    <row r="885" ht="15.75" customHeight="1">
      <c r="F885" s="11"/>
    </row>
    <row r="886" ht="15.75" customHeight="1">
      <c r="F886" s="11"/>
    </row>
    <row r="887" ht="15.75" customHeight="1">
      <c r="F887" s="11"/>
    </row>
    <row r="888" ht="15.75" customHeight="1">
      <c r="F888" s="11"/>
    </row>
    <row r="889" ht="15.75" customHeight="1">
      <c r="F889" s="11"/>
    </row>
    <row r="890" ht="15.75" customHeight="1">
      <c r="F890" s="11"/>
    </row>
    <row r="891" ht="15.75" customHeight="1">
      <c r="F891" s="11"/>
    </row>
    <row r="892" ht="15.75" customHeight="1">
      <c r="F892" s="11"/>
    </row>
    <row r="893" ht="15.75" customHeight="1">
      <c r="F893" s="11"/>
    </row>
    <row r="894" ht="15.75" customHeight="1">
      <c r="F894" s="11"/>
    </row>
    <row r="895" ht="15.75" customHeight="1">
      <c r="F895" s="11"/>
    </row>
    <row r="896" ht="15.75" customHeight="1">
      <c r="F896" s="11"/>
    </row>
    <row r="897" ht="15.75" customHeight="1">
      <c r="F897" s="11"/>
    </row>
    <row r="898" ht="15.75" customHeight="1">
      <c r="F898" s="11"/>
    </row>
    <row r="899" ht="15.75" customHeight="1">
      <c r="F899" s="11"/>
    </row>
    <row r="900" ht="15.75" customHeight="1">
      <c r="F900" s="11"/>
    </row>
    <row r="901" ht="15.75" customHeight="1">
      <c r="F901" s="11"/>
    </row>
    <row r="902" ht="15.75" customHeight="1">
      <c r="F902" s="11"/>
    </row>
    <row r="903" ht="15.75" customHeight="1">
      <c r="F903" s="11"/>
    </row>
    <row r="904" ht="15.75" customHeight="1">
      <c r="F904" s="11"/>
    </row>
    <row r="905" ht="15.75" customHeight="1">
      <c r="F905" s="11"/>
    </row>
    <row r="906" ht="15.75" customHeight="1">
      <c r="F906" s="11"/>
    </row>
    <row r="907" ht="15.75" customHeight="1">
      <c r="F907" s="11"/>
    </row>
    <row r="908" ht="15.75" customHeight="1">
      <c r="F908" s="11"/>
    </row>
    <row r="909" ht="15.75" customHeight="1">
      <c r="F909" s="11"/>
    </row>
    <row r="910" ht="15.75" customHeight="1">
      <c r="F910" s="11"/>
    </row>
    <row r="911" ht="15.75" customHeight="1">
      <c r="F911" s="11"/>
    </row>
    <row r="912" ht="15.75" customHeight="1">
      <c r="F912" s="11"/>
    </row>
    <row r="913" ht="15.75" customHeight="1">
      <c r="F913" s="11"/>
    </row>
    <row r="914" ht="15.75" customHeight="1">
      <c r="F914" s="11"/>
    </row>
    <row r="915" ht="15.75" customHeight="1">
      <c r="F915" s="11"/>
    </row>
    <row r="916" ht="15.75" customHeight="1">
      <c r="F916" s="11"/>
    </row>
    <row r="917" ht="15.75" customHeight="1">
      <c r="F917" s="11"/>
    </row>
    <row r="918" ht="15.75" customHeight="1">
      <c r="F918" s="11"/>
    </row>
    <row r="919" ht="15.75" customHeight="1">
      <c r="F919" s="11"/>
    </row>
    <row r="920" ht="15.75" customHeight="1">
      <c r="F920" s="11"/>
    </row>
    <row r="921" ht="15.75" customHeight="1">
      <c r="F921" s="11"/>
    </row>
    <row r="922" ht="15.75" customHeight="1">
      <c r="F922" s="11"/>
    </row>
    <row r="923" ht="15.75" customHeight="1">
      <c r="F923" s="11"/>
    </row>
    <row r="924" ht="15.75" customHeight="1">
      <c r="F924" s="11"/>
    </row>
    <row r="925" ht="15.75" customHeight="1">
      <c r="F925" s="11"/>
    </row>
    <row r="926" ht="15.75" customHeight="1">
      <c r="F926" s="11"/>
    </row>
    <row r="927" ht="15.75" customHeight="1">
      <c r="F927" s="11"/>
    </row>
    <row r="928" ht="15.75" customHeight="1">
      <c r="F928" s="11"/>
    </row>
    <row r="929" ht="15.75" customHeight="1">
      <c r="F929" s="11"/>
    </row>
    <row r="930" ht="15.75" customHeight="1">
      <c r="F930" s="11"/>
    </row>
    <row r="931" ht="15.75" customHeight="1">
      <c r="F931" s="11"/>
    </row>
    <row r="932" ht="15.75" customHeight="1">
      <c r="F932" s="11"/>
    </row>
    <row r="933" ht="15.75" customHeight="1">
      <c r="F933" s="11"/>
    </row>
    <row r="934" ht="15.75" customHeight="1">
      <c r="F934" s="11"/>
    </row>
    <row r="935" ht="15.75" customHeight="1">
      <c r="F935" s="11"/>
    </row>
    <row r="936" ht="15.75" customHeight="1">
      <c r="F936" s="11"/>
    </row>
    <row r="937" ht="15.75" customHeight="1">
      <c r="F937" s="11"/>
    </row>
    <row r="938" ht="15.75" customHeight="1">
      <c r="F938" s="11"/>
    </row>
    <row r="939" ht="15.75" customHeight="1">
      <c r="F939" s="11"/>
    </row>
    <row r="940" ht="15.75" customHeight="1">
      <c r="F940" s="11"/>
    </row>
    <row r="941" ht="15.75" customHeight="1">
      <c r="F941" s="11"/>
    </row>
    <row r="942" ht="15.75" customHeight="1">
      <c r="F942" s="11"/>
    </row>
    <row r="943" ht="15.75" customHeight="1">
      <c r="F943" s="11"/>
    </row>
    <row r="944" ht="15.75" customHeight="1">
      <c r="F944" s="11"/>
    </row>
    <row r="945" ht="15.75" customHeight="1">
      <c r="F945" s="11"/>
    </row>
    <row r="946" ht="15.75" customHeight="1">
      <c r="F946" s="11"/>
    </row>
    <row r="947" ht="15.75" customHeight="1">
      <c r="F947" s="11"/>
    </row>
    <row r="948" ht="15.75" customHeight="1">
      <c r="F948" s="11"/>
    </row>
    <row r="949" ht="15.75" customHeight="1">
      <c r="F949" s="11"/>
    </row>
    <row r="950" ht="15.75" customHeight="1">
      <c r="F950" s="11"/>
    </row>
    <row r="951" ht="15.75" customHeight="1">
      <c r="F951" s="11"/>
    </row>
    <row r="952" ht="15.75" customHeight="1">
      <c r="F952" s="11"/>
    </row>
    <row r="953" ht="15.75" customHeight="1">
      <c r="F953" s="11"/>
    </row>
    <row r="954" ht="15.75" customHeight="1">
      <c r="F954" s="11"/>
    </row>
    <row r="955" ht="15.75" customHeight="1">
      <c r="F955" s="11"/>
    </row>
    <row r="956" ht="15.75" customHeight="1">
      <c r="F956" s="11"/>
    </row>
    <row r="957" ht="15.75" customHeight="1">
      <c r="F957" s="11"/>
    </row>
    <row r="958" ht="15.75" customHeight="1">
      <c r="F958" s="11"/>
    </row>
    <row r="959" ht="15.75" customHeight="1">
      <c r="F959" s="11"/>
    </row>
    <row r="960" ht="15.75" customHeight="1">
      <c r="F960" s="11"/>
    </row>
    <row r="961" ht="15.75" customHeight="1">
      <c r="F961" s="11"/>
    </row>
    <row r="962" ht="15.75" customHeight="1">
      <c r="F962" s="11"/>
    </row>
    <row r="963" ht="15.75" customHeight="1">
      <c r="F963" s="11"/>
    </row>
    <row r="964" ht="15.75" customHeight="1">
      <c r="F964" s="11"/>
    </row>
    <row r="965" ht="15.75" customHeight="1">
      <c r="F965" s="11"/>
    </row>
    <row r="966" ht="15.75" customHeight="1">
      <c r="F966" s="11"/>
    </row>
    <row r="967" ht="15.75" customHeight="1">
      <c r="F967" s="11"/>
    </row>
    <row r="968" ht="15.75" customHeight="1">
      <c r="F968" s="11"/>
    </row>
    <row r="969" ht="15.75" customHeight="1">
      <c r="F969" s="11"/>
    </row>
    <row r="970" ht="15.75" customHeight="1">
      <c r="F970" s="11"/>
    </row>
    <row r="971" ht="15.75" customHeight="1">
      <c r="F971" s="11"/>
    </row>
    <row r="972" ht="15.75" customHeight="1">
      <c r="F972" s="11"/>
    </row>
    <row r="973" ht="15.75" customHeight="1">
      <c r="F973" s="11"/>
    </row>
    <row r="974" ht="15.75" customHeight="1">
      <c r="F974" s="11"/>
    </row>
    <row r="975" ht="15.75" customHeight="1">
      <c r="F975" s="11"/>
    </row>
    <row r="976" ht="15.75" customHeight="1">
      <c r="F976" s="11"/>
    </row>
    <row r="977" ht="15.75" customHeight="1">
      <c r="F977" s="11"/>
    </row>
    <row r="978" ht="15.75" customHeight="1">
      <c r="F978" s="11"/>
    </row>
    <row r="979" ht="15.75" customHeight="1">
      <c r="F979" s="11"/>
    </row>
    <row r="980" ht="15.75" customHeight="1">
      <c r="F980" s="11"/>
    </row>
    <row r="981" ht="15.75" customHeight="1">
      <c r="F981" s="11"/>
    </row>
    <row r="982" ht="15.75" customHeight="1">
      <c r="F982" s="11"/>
    </row>
    <row r="983" ht="15.75" customHeight="1">
      <c r="F983" s="11"/>
    </row>
    <row r="984" ht="15.75" customHeight="1">
      <c r="F984" s="11"/>
    </row>
    <row r="985" ht="15.75" customHeight="1">
      <c r="F985" s="11"/>
    </row>
    <row r="986" ht="15.75" customHeight="1">
      <c r="F986" s="11"/>
    </row>
    <row r="987" ht="15.75" customHeight="1">
      <c r="F987" s="11"/>
    </row>
    <row r="988" ht="15.75" customHeight="1">
      <c r="F988" s="11"/>
    </row>
    <row r="989" ht="15.75" customHeight="1">
      <c r="F989" s="11"/>
    </row>
    <row r="990" ht="15.75" customHeight="1">
      <c r="F990" s="11"/>
    </row>
    <row r="991" ht="15.75" customHeight="1">
      <c r="F991" s="11"/>
    </row>
    <row r="992" ht="15.75" customHeight="1">
      <c r="F992" s="11"/>
    </row>
    <row r="993" ht="15.75" customHeight="1">
      <c r="F993" s="11"/>
    </row>
    <row r="994" ht="15.75" customHeight="1">
      <c r="F994" s="11"/>
    </row>
    <row r="995" ht="15.75" customHeight="1">
      <c r="F995" s="11"/>
    </row>
    <row r="996" ht="15.75" customHeight="1">
      <c r="F996" s="11"/>
    </row>
    <row r="997" ht="15.75" customHeight="1">
      <c r="F997" s="11"/>
    </row>
    <row r="998" ht="15.75" customHeight="1">
      <c r="F998" s="11"/>
    </row>
    <row r="999" ht="15.75" customHeight="1">
      <c r="F999" s="11"/>
    </row>
    <row r="1000" ht="15.75" customHeight="1">
      <c r="F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6.88"/>
    <col customWidth="1" min="3" max="3" width="17.88"/>
    <col customWidth="1" min="4" max="5" width="15.63"/>
    <col customWidth="1" min="6" max="6" width="13.5"/>
  </cols>
  <sheetData>
    <row r="1" ht="57.75" customHeight="1">
      <c r="A1" s="12" t="s">
        <v>30</v>
      </c>
      <c r="B1" s="12" t="s">
        <v>31</v>
      </c>
      <c r="C1" s="12" t="s">
        <v>32</v>
      </c>
      <c r="D1" s="13" t="s">
        <v>33</v>
      </c>
      <c r="E1" s="13" t="s">
        <v>34</v>
      </c>
      <c r="F1" s="13" t="s">
        <v>35</v>
      </c>
    </row>
    <row r="2">
      <c r="A2" s="4" t="s">
        <v>36</v>
      </c>
      <c r="B2" s="4" t="s">
        <v>37</v>
      </c>
      <c r="C2" s="4" t="s">
        <v>38</v>
      </c>
      <c r="D2" s="5">
        <v>0.0</v>
      </c>
      <c r="E2" s="5">
        <v>1.0</v>
      </c>
      <c r="F2" s="5">
        <v>0.0</v>
      </c>
    </row>
    <row r="3">
      <c r="A3" s="4" t="s">
        <v>39</v>
      </c>
      <c r="B3" s="4" t="s">
        <v>40</v>
      </c>
      <c r="C3" s="4" t="s">
        <v>38</v>
      </c>
      <c r="D3" s="5">
        <v>0.0</v>
      </c>
      <c r="E3" s="5">
        <v>1.0</v>
      </c>
      <c r="F3" s="5">
        <v>0.0</v>
      </c>
    </row>
    <row r="4">
      <c r="A4" s="4" t="s">
        <v>41</v>
      </c>
      <c r="B4" s="4" t="s">
        <v>40</v>
      </c>
      <c r="C4" s="4" t="s">
        <v>38</v>
      </c>
      <c r="D4" s="5">
        <v>0.0</v>
      </c>
      <c r="E4" s="5">
        <v>1.0</v>
      </c>
      <c r="F4" s="5">
        <v>0.0</v>
      </c>
    </row>
    <row r="5">
      <c r="A5" s="4" t="s">
        <v>42</v>
      </c>
      <c r="B5" s="4" t="s">
        <v>40</v>
      </c>
      <c r="C5" s="4" t="s">
        <v>38</v>
      </c>
      <c r="D5" s="5">
        <v>0.0</v>
      </c>
      <c r="E5" s="5">
        <v>1.0</v>
      </c>
      <c r="F5" s="5">
        <v>0.0</v>
      </c>
    </row>
    <row r="6">
      <c r="A6" s="4" t="s">
        <v>43</v>
      </c>
      <c r="B6" s="4" t="s">
        <v>37</v>
      </c>
      <c r="C6" s="4" t="s">
        <v>44</v>
      </c>
      <c r="D6" s="5">
        <v>1.0</v>
      </c>
      <c r="E6" s="5">
        <v>0.0</v>
      </c>
      <c r="F6" s="5">
        <v>0.0</v>
      </c>
    </row>
    <row r="7">
      <c r="A7" s="4" t="s">
        <v>45</v>
      </c>
      <c r="B7" s="4" t="s">
        <v>40</v>
      </c>
      <c r="C7" s="4" t="s">
        <v>44</v>
      </c>
      <c r="D7" s="5">
        <v>1.0</v>
      </c>
      <c r="E7" s="5">
        <v>0.0</v>
      </c>
      <c r="F7" s="5">
        <v>0.0</v>
      </c>
    </row>
    <row r="8">
      <c r="A8" s="4" t="s">
        <v>46</v>
      </c>
      <c r="B8" s="4" t="s">
        <v>40</v>
      </c>
      <c r="C8" s="4" t="s">
        <v>44</v>
      </c>
      <c r="D8" s="5">
        <v>1.0</v>
      </c>
      <c r="E8" s="5">
        <v>0.0</v>
      </c>
      <c r="F8" s="5">
        <v>0.0</v>
      </c>
    </row>
    <row r="9">
      <c r="A9" s="4" t="s">
        <v>47</v>
      </c>
      <c r="B9" s="4" t="s">
        <v>40</v>
      </c>
      <c r="C9" s="4" t="s">
        <v>44</v>
      </c>
      <c r="D9" s="5">
        <v>1.0</v>
      </c>
      <c r="E9" s="5">
        <v>0.0</v>
      </c>
      <c r="F9" s="5">
        <v>0.0</v>
      </c>
    </row>
    <row r="10">
      <c r="A10" s="4" t="s">
        <v>48</v>
      </c>
      <c r="B10" s="4" t="s">
        <v>40</v>
      </c>
      <c r="C10" s="4" t="s">
        <v>44</v>
      </c>
      <c r="D10" s="5">
        <v>1.0</v>
      </c>
      <c r="E10" s="5">
        <v>0.0</v>
      </c>
      <c r="F10" s="5">
        <v>0.0</v>
      </c>
    </row>
    <row r="11">
      <c r="A11" s="4" t="s">
        <v>49</v>
      </c>
      <c r="B11" s="4" t="s">
        <v>40</v>
      </c>
      <c r="C11" s="4" t="s">
        <v>44</v>
      </c>
      <c r="D11" s="5">
        <v>1.0</v>
      </c>
      <c r="E11" s="5">
        <v>0.0</v>
      </c>
      <c r="F11" s="5">
        <v>0.0</v>
      </c>
    </row>
    <row r="12">
      <c r="A12" s="4" t="s">
        <v>50</v>
      </c>
      <c r="B12" s="4" t="s">
        <v>40</v>
      </c>
      <c r="C12" s="4" t="s">
        <v>44</v>
      </c>
      <c r="D12" s="5">
        <v>1.0</v>
      </c>
      <c r="E12" s="5">
        <v>0.0</v>
      </c>
      <c r="F12" s="5">
        <v>0.0</v>
      </c>
    </row>
    <row r="13">
      <c r="A13" s="4" t="s">
        <v>51</v>
      </c>
      <c r="B13" s="4" t="s">
        <v>40</v>
      </c>
      <c r="C13" s="4" t="s">
        <v>44</v>
      </c>
      <c r="D13" s="5">
        <v>1.0</v>
      </c>
      <c r="E13" s="5">
        <v>0.0</v>
      </c>
      <c r="F13" s="5">
        <v>0.0</v>
      </c>
    </row>
    <row r="14">
      <c r="A14" s="4" t="s">
        <v>52</v>
      </c>
      <c r="B14" s="4" t="s">
        <v>40</v>
      </c>
      <c r="C14" s="4" t="s">
        <v>44</v>
      </c>
      <c r="D14" s="5">
        <v>1.0</v>
      </c>
      <c r="E14" s="5">
        <v>0.0</v>
      </c>
      <c r="F14" s="5">
        <v>0.0</v>
      </c>
    </row>
    <row r="15">
      <c r="A15" s="4" t="s">
        <v>53</v>
      </c>
      <c r="B15" s="4" t="s">
        <v>40</v>
      </c>
      <c r="C15" s="4" t="s">
        <v>44</v>
      </c>
      <c r="D15" s="5">
        <v>1.0</v>
      </c>
      <c r="E15" s="5">
        <v>0.0</v>
      </c>
      <c r="F15" s="5">
        <v>0.0</v>
      </c>
    </row>
    <row r="16">
      <c r="A16" s="4" t="s">
        <v>54</v>
      </c>
      <c r="B16" s="4" t="s">
        <v>40</v>
      </c>
      <c r="C16" s="4" t="s">
        <v>44</v>
      </c>
      <c r="D16" s="5">
        <v>1.0</v>
      </c>
      <c r="E16" s="5">
        <v>0.0</v>
      </c>
      <c r="F16" s="5">
        <v>0.0</v>
      </c>
    </row>
    <row r="17">
      <c r="A17" s="4" t="s">
        <v>55</v>
      </c>
      <c r="B17" s="4" t="s">
        <v>40</v>
      </c>
      <c r="C17" s="4" t="s">
        <v>44</v>
      </c>
      <c r="D17" s="5">
        <v>1.0</v>
      </c>
      <c r="E17" s="5">
        <v>0.0</v>
      </c>
      <c r="F17" s="5">
        <v>0.0</v>
      </c>
    </row>
    <row r="18">
      <c r="A18" s="4" t="s">
        <v>56</v>
      </c>
      <c r="B18" s="4" t="s">
        <v>40</v>
      </c>
      <c r="C18" s="4" t="s">
        <v>44</v>
      </c>
      <c r="D18" s="5">
        <v>1.0</v>
      </c>
      <c r="E18" s="5">
        <v>0.0</v>
      </c>
      <c r="F18" s="5">
        <v>0.0</v>
      </c>
    </row>
    <row r="19">
      <c r="A19" s="4" t="s">
        <v>57</v>
      </c>
      <c r="B19" s="4" t="s">
        <v>40</v>
      </c>
      <c r="C19" s="4" t="s">
        <v>44</v>
      </c>
      <c r="D19" s="5">
        <v>1.0</v>
      </c>
      <c r="E19" s="5">
        <v>0.0</v>
      </c>
      <c r="F19" s="5">
        <v>0.0</v>
      </c>
    </row>
    <row r="20">
      <c r="A20" s="4" t="s">
        <v>58</v>
      </c>
      <c r="B20" s="4" t="s">
        <v>40</v>
      </c>
      <c r="C20" s="4" t="s">
        <v>44</v>
      </c>
      <c r="D20" s="5">
        <v>1.0</v>
      </c>
      <c r="E20" s="5">
        <v>0.0</v>
      </c>
      <c r="F20" s="5">
        <v>0.0</v>
      </c>
    </row>
    <row r="21" ht="15.75" customHeight="1">
      <c r="A21" s="4" t="s">
        <v>59</v>
      </c>
      <c r="B21" s="4" t="s">
        <v>40</v>
      </c>
      <c r="C21" s="4" t="s">
        <v>44</v>
      </c>
      <c r="D21" s="5">
        <v>1.0</v>
      </c>
      <c r="E21" s="5">
        <v>0.0</v>
      </c>
      <c r="F21" s="5">
        <v>0.0</v>
      </c>
    </row>
    <row r="22" ht="15.75" customHeight="1">
      <c r="A22" s="4" t="s">
        <v>60</v>
      </c>
      <c r="B22" s="4" t="s">
        <v>40</v>
      </c>
      <c r="C22" s="4" t="s">
        <v>44</v>
      </c>
      <c r="D22" s="5">
        <v>1.0</v>
      </c>
      <c r="E22" s="5">
        <v>0.0</v>
      </c>
      <c r="F22" s="5">
        <v>0.0</v>
      </c>
    </row>
    <row r="23" ht="15.75" customHeight="1">
      <c r="A23" s="4" t="s">
        <v>61</v>
      </c>
      <c r="B23" s="4" t="s">
        <v>40</v>
      </c>
      <c r="C23" s="4" t="s">
        <v>44</v>
      </c>
      <c r="D23" s="5">
        <v>1.0</v>
      </c>
      <c r="E23" s="5">
        <v>0.0</v>
      </c>
      <c r="F23" s="5">
        <v>0.0</v>
      </c>
    </row>
    <row r="24" ht="15.75" customHeight="1">
      <c r="A24" s="4" t="s">
        <v>62</v>
      </c>
      <c r="B24" s="4" t="s">
        <v>40</v>
      </c>
      <c r="C24" s="4" t="s">
        <v>44</v>
      </c>
      <c r="D24" s="5">
        <v>1.0</v>
      </c>
      <c r="E24" s="5">
        <v>0.0</v>
      </c>
      <c r="F24" s="5">
        <v>0.0</v>
      </c>
    </row>
    <row r="25" ht="15.75" customHeight="1">
      <c r="A25" s="4" t="s">
        <v>63</v>
      </c>
      <c r="B25" s="4" t="s">
        <v>40</v>
      </c>
      <c r="C25" s="4" t="s">
        <v>44</v>
      </c>
      <c r="D25" s="5">
        <v>1.0</v>
      </c>
      <c r="E25" s="5">
        <v>0.0</v>
      </c>
      <c r="F25" s="5">
        <v>0.0</v>
      </c>
    </row>
    <row r="26" ht="15.75" customHeight="1">
      <c r="A26" s="4" t="s">
        <v>64</v>
      </c>
      <c r="B26" s="4" t="s">
        <v>40</v>
      </c>
      <c r="C26" s="4" t="s">
        <v>44</v>
      </c>
      <c r="D26" s="5">
        <v>1.0</v>
      </c>
      <c r="E26" s="5">
        <v>0.0</v>
      </c>
      <c r="F26" s="5">
        <v>0.0</v>
      </c>
    </row>
    <row r="27" ht="15.75" customHeight="1">
      <c r="A27" s="4" t="s">
        <v>65</v>
      </c>
      <c r="B27" s="4" t="s">
        <v>40</v>
      </c>
      <c r="C27" s="4" t="s">
        <v>44</v>
      </c>
      <c r="D27" s="5">
        <v>1.0</v>
      </c>
      <c r="E27" s="5">
        <v>0.0</v>
      </c>
      <c r="F27" s="5">
        <v>0.0</v>
      </c>
    </row>
    <row r="28" ht="15.75" customHeight="1">
      <c r="A28" s="4" t="s">
        <v>66</v>
      </c>
      <c r="B28" s="4" t="s">
        <v>40</v>
      </c>
      <c r="C28" s="4" t="s">
        <v>44</v>
      </c>
      <c r="D28" s="5">
        <v>1.0</v>
      </c>
      <c r="E28" s="5">
        <v>0.0</v>
      </c>
      <c r="F28" s="5">
        <v>0.0</v>
      </c>
    </row>
    <row r="29" ht="15.75" customHeight="1">
      <c r="A29" s="4" t="s">
        <v>67</v>
      </c>
      <c r="B29" s="4" t="s">
        <v>40</v>
      </c>
      <c r="C29" s="4" t="s">
        <v>44</v>
      </c>
      <c r="D29" s="5">
        <v>1.0</v>
      </c>
      <c r="E29" s="5">
        <v>0.0</v>
      </c>
      <c r="F29" s="5">
        <v>0.0</v>
      </c>
    </row>
    <row r="30" ht="15.75" customHeight="1">
      <c r="A30" s="4" t="s">
        <v>68</v>
      </c>
      <c r="B30" s="4" t="s">
        <v>40</v>
      </c>
      <c r="C30" s="4" t="s">
        <v>44</v>
      </c>
      <c r="D30" s="5">
        <v>1.0</v>
      </c>
      <c r="E30" s="5">
        <v>0.0</v>
      </c>
      <c r="F30" s="5">
        <v>0.0</v>
      </c>
    </row>
    <row r="31" ht="15.75" customHeight="1">
      <c r="A31" s="4" t="s">
        <v>69</v>
      </c>
      <c r="B31" s="4" t="s">
        <v>40</v>
      </c>
      <c r="C31" s="4" t="s">
        <v>44</v>
      </c>
      <c r="D31" s="5">
        <v>1.0</v>
      </c>
      <c r="E31" s="5">
        <v>0.0</v>
      </c>
      <c r="F31" s="5">
        <v>0.0</v>
      </c>
    </row>
    <row r="32" ht="15.75" customHeight="1">
      <c r="A32" s="4" t="s">
        <v>70</v>
      </c>
      <c r="B32" s="4" t="s">
        <v>40</v>
      </c>
      <c r="C32" s="4" t="s">
        <v>44</v>
      </c>
      <c r="D32" s="5">
        <v>1.0</v>
      </c>
      <c r="E32" s="5">
        <v>0.0</v>
      </c>
      <c r="F32" s="5">
        <v>0.0</v>
      </c>
    </row>
    <row r="33" ht="15.75" customHeight="1">
      <c r="A33" s="4" t="s">
        <v>71</v>
      </c>
      <c r="B33" s="4" t="s">
        <v>40</v>
      </c>
      <c r="C33" s="4" t="s">
        <v>44</v>
      </c>
      <c r="D33" s="5">
        <v>1.0</v>
      </c>
      <c r="E33" s="5">
        <v>0.0</v>
      </c>
      <c r="F33" s="5">
        <v>0.0</v>
      </c>
    </row>
    <row r="34" ht="15.75" customHeight="1">
      <c r="A34" s="4" t="s">
        <v>72</v>
      </c>
      <c r="B34" s="4" t="s">
        <v>40</v>
      </c>
      <c r="C34" s="4" t="s">
        <v>44</v>
      </c>
      <c r="D34" s="5">
        <v>1.0</v>
      </c>
      <c r="E34" s="5">
        <v>0.0</v>
      </c>
      <c r="F34" s="5">
        <v>0.0</v>
      </c>
    </row>
    <row r="35" ht="15.75" customHeight="1">
      <c r="A35" s="4" t="s">
        <v>73</v>
      </c>
      <c r="B35" s="4" t="s">
        <v>40</v>
      </c>
      <c r="C35" s="4" t="s">
        <v>44</v>
      </c>
      <c r="D35" s="5">
        <v>1.0</v>
      </c>
      <c r="E35" s="5">
        <v>0.0</v>
      </c>
      <c r="F35" s="5">
        <v>0.0</v>
      </c>
    </row>
    <row r="36" ht="15.75" customHeight="1">
      <c r="A36" s="4" t="s">
        <v>74</v>
      </c>
      <c r="B36" s="4" t="s">
        <v>40</v>
      </c>
      <c r="C36" s="4" t="s">
        <v>44</v>
      </c>
      <c r="D36" s="5">
        <v>1.0</v>
      </c>
      <c r="E36" s="5">
        <v>0.0</v>
      </c>
      <c r="F36" s="5">
        <v>0.0</v>
      </c>
    </row>
    <row r="37" ht="15.75" customHeight="1">
      <c r="A37" s="4" t="s">
        <v>75</v>
      </c>
      <c r="B37" s="4" t="s">
        <v>40</v>
      </c>
      <c r="C37" s="4" t="s">
        <v>44</v>
      </c>
      <c r="D37" s="5">
        <v>1.0</v>
      </c>
      <c r="E37" s="5">
        <v>0.0</v>
      </c>
      <c r="F37" s="5">
        <v>0.0</v>
      </c>
    </row>
    <row r="38" ht="15.75" customHeight="1">
      <c r="A38" s="4" t="s">
        <v>76</v>
      </c>
      <c r="B38" s="4" t="s">
        <v>40</v>
      </c>
      <c r="C38" s="4" t="s">
        <v>44</v>
      </c>
      <c r="D38" s="5">
        <v>1.0</v>
      </c>
      <c r="E38" s="5">
        <v>0.0</v>
      </c>
      <c r="F38" s="5">
        <v>0.0</v>
      </c>
    </row>
    <row r="39" ht="15.75" customHeight="1">
      <c r="A39" s="4" t="s">
        <v>77</v>
      </c>
      <c r="B39" s="4" t="s">
        <v>40</v>
      </c>
      <c r="C39" s="4" t="s">
        <v>44</v>
      </c>
      <c r="D39" s="5">
        <v>1.0</v>
      </c>
      <c r="E39" s="5">
        <v>0.0</v>
      </c>
      <c r="F39" s="5">
        <v>0.0</v>
      </c>
    </row>
    <row r="40" ht="15.75" customHeight="1">
      <c r="A40" s="4" t="s">
        <v>78</v>
      </c>
      <c r="B40" s="4" t="s">
        <v>40</v>
      </c>
      <c r="C40" s="4" t="s">
        <v>44</v>
      </c>
      <c r="D40" s="5">
        <v>1.0</v>
      </c>
      <c r="E40" s="5">
        <v>0.0</v>
      </c>
      <c r="F40" s="5">
        <v>0.0</v>
      </c>
    </row>
    <row r="41" ht="15.75" customHeight="1">
      <c r="A41" s="4" t="s">
        <v>79</v>
      </c>
      <c r="B41" s="4" t="s">
        <v>40</v>
      </c>
      <c r="C41" s="4" t="s">
        <v>44</v>
      </c>
      <c r="D41" s="5">
        <v>1.0</v>
      </c>
      <c r="E41" s="5">
        <v>0.0</v>
      </c>
      <c r="F41" s="5">
        <v>0.0</v>
      </c>
    </row>
    <row r="42" ht="15.75" customHeight="1">
      <c r="A42" s="4" t="s">
        <v>80</v>
      </c>
      <c r="B42" s="4" t="s">
        <v>40</v>
      </c>
      <c r="C42" s="4" t="s">
        <v>44</v>
      </c>
      <c r="D42" s="5">
        <v>1.0</v>
      </c>
      <c r="E42" s="5">
        <v>0.0</v>
      </c>
      <c r="F42" s="5">
        <v>0.0</v>
      </c>
    </row>
    <row r="43" ht="15.75" customHeight="1">
      <c r="A43" s="4" t="s">
        <v>81</v>
      </c>
      <c r="B43" s="4" t="s">
        <v>40</v>
      </c>
      <c r="C43" s="4" t="s">
        <v>44</v>
      </c>
      <c r="D43" s="5">
        <v>1.0</v>
      </c>
      <c r="E43" s="5">
        <v>0.0</v>
      </c>
      <c r="F43" s="5">
        <v>0.0</v>
      </c>
    </row>
    <row r="44" ht="15.75" customHeight="1">
      <c r="A44" s="4" t="s">
        <v>82</v>
      </c>
      <c r="B44" s="4" t="s">
        <v>40</v>
      </c>
      <c r="C44" s="4" t="s">
        <v>44</v>
      </c>
      <c r="D44" s="5">
        <v>1.0</v>
      </c>
      <c r="E44" s="5">
        <v>0.0</v>
      </c>
      <c r="F44" s="5">
        <v>0.0</v>
      </c>
    </row>
    <row r="45" ht="15.75" customHeight="1">
      <c r="A45" s="4" t="s">
        <v>83</v>
      </c>
      <c r="B45" s="4" t="s">
        <v>40</v>
      </c>
      <c r="C45" s="4" t="s">
        <v>44</v>
      </c>
      <c r="D45" s="5">
        <v>1.0</v>
      </c>
      <c r="E45" s="5">
        <v>0.0</v>
      </c>
      <c r="F45" s="5">
        <v>0.0</v>
      </c>
    </row>
    <row r="46" ht="15.75" customHeight="1">
      <c r="A46" s="4" t="s">
        <v>84</v>
      </c>
      <c r="B46" s="4" t="s">
        <v>40</v>
      </c>
      <c r="C46" s="4" t="s">
        <v>44</v>
      </c>
      <c r="D46" s="5">
        <v>1.0</v>
      </c>
      <c r="E46" s="5">
        <v>0.0</v>
      </c>
      <c r="F46" s="5">
        <v>0.0</v>
      </c>
    </row>
    <row r="47" ht="15.75" customHeight="1">
      <c r="A47" s="4" t="s">
        <v>85</v>
      </c>
      <c r="B47" s="4" t="s">
        <v>40</v>
      </c>
      <c r="C47" s="4" t="s">
        <v>44</v>
      </c>
      <c r="D47" s="5">
        <v>1.0</v>
      </c>
      <c r="E47" s="5">
        <v>0.0</v>
      </c>
      <c r="F47" s="5">
        <v>0.0</v>
      </c>
    </row>
    <row r="48" ht="15.75" customHeight="1">
      <c r="A48" s="4" t="s">
        <v>86</v>
      </c>
      <c r="B48" s="4" t="s">
        <v>40</v>
      </c>
      <c r="C48" s="4" t="s">
        <v>44</v>
      </c>
      <c r="D48" s="5">
        <v>1.0</v>
      </c>
      <c r="E48" s="5">
        <v>0.0</v>
      </c>
      <c r="F48" s="5">
        <v>0.0</v>
      </c>
    </row>
    <row r="49" ht="15.75" customHeight="1">
      <c r="A49" s="4" t="s">
        <v>87</v>
      </c>
      <c r="B49" s="4" t="s">
        <v>40</v>
      </c>
      <c r="C49" s="4" t="s">
        <v>44</v>
      </c>
      <c r="D49" s="5">
        <v>1.0</v>
      </c>
      <c r="E49" s="5">
        <v>0.0</v>
      </c>
      <c r="F49" s="5">
        <v>0.0</v>
      </c>
    </row>
    <row r="50" ht="15.75" customHeight="1">
      <c r="A50" s="4" t="s">
        <v>88</v>
      </c>
      <c r="B50" s="4" t="s">
        <v>40</v>
      </c>
      <c r="C50" s="4" t="s">
        <v>44</v>
      </c>
      <c r="D50" s="5">
        <v>1.0</v>
      </c>
      <c r="E50" s="5">
        <v>0.0</v>
      </c>
      <c r="F50" s="5">
        <v>0.0</v>
      </c>
    </row>
    <row r="51" ht="15.75" customHeight="1">
      <c r="A51" s="4" t="s">
        <v>89</v>
      </c>
      <c r="B51" s="4" t="s">
        <v>40</v>
      </c>
      <c r="C51" s="4" t="s">
        <v>44</v>
      </c>
      <c r="D51" s="5">
        <v>1.0</v>
      </c>
      <c r="E51" s="5">
        <v>0.0</v>
      </c>
      <c r="F51" s="5">
        <v>0.0</v>
      </c>
    </row>
    <row r="52" ht="15.75" customHeight="1">
      <c r="A52" s="4" t="s">
        <v>90</v>
      </c>
      <c r="B52" s="4" t="s">
        <v>40</v>
      </c>
      <c r="C52" s="4" t="s">
        <v>44</v>
      </c>
      <c r="D52" s="5">
        <v>1.0</v>
      </c>
      <c r="E52" s="5">
        <v>0.0</v>
      </c>
      <c r="F52" s="5">
        <v>0.0</v>
      </c>
    </row>
    <row r="53" ht="15.75" customHeight="1">
      <c r="A53" s="4" t="s">
        <v>91</v>
      </c>
      <c r="B53" s="4" t="s">
        <v>40</v>
      </c>
      <c r="C53" s="4" t="s">
        <v>44</v>
      </c>
      <c r="D53" s="5">
        <v>1.0</v>
      </c>
      <c r="E53" s="5">
        <v>0.0</v>
      </c>
      <c r="F53" s="5">
        <v>0.0</v>
      </c>
    </row>
    <row r="54" ht="15.75" customHeight="1">
      <c r="A54" s="4" t="s">
        <v>92</v>
      </c>
      <c r="B54" s="4" t="s">
        <v>40</v>
      </c>
      <c r="C54" s="4" t="s">
        <v>44</v>
      </c>
      <c r="D54" s="5">
        <v>1.0</v>
      </c>
      <c r="E54" s="5">
        <v>0.0</v>
      </c>
      <c r="F54" s="5">
        <v>0.0</v>
      </c>
    </row>
    <row r="55" ht="15.75" customHeight="1">
      <c r="A55" s="4" t="s">
        <v>93</v>
      </c>
      <c r="B55" s="4" t="s">
        <v>40</v>
      </c>
      <c r="C55" s="4" t="s">
        <v>44</v>
      </c>
      <c r="D55" s="5">
        <v>1.0</v>
      </c>
      <c r="E55" s="5">
        <v>0.0</v>
      </c>
      <c r="F55" s="5">
        <v>0.0</v>
      </c>
    </row>
    <row r="56" ht="15.75" customHeight="1">
      <c r="A56" s="4" t="s">
        <v>94</v>
      </c>
      <c r="B56" s="4" t="s">
        <v>40</v>
      </c>
      <c r="C56" s="4" t="s">
        <v>44</v>
      </c>
      <c r="D56" s="5">
        <v>1.0</v>
      </c>
      <c r="E56" s="5">
        <v>0.0</v>
      </c>
      <c r="F56" s="5">
        <v>0.0</v>
      </c>
    </row>
    <row r="57" ht="15.75" customHeight="1">
      <c r="A57" s="4" t="s">
        <v>95</v>
      </c>
      <c r="B57" s="4" t="s">
        <v>40</v>
      </c>
      <c r="C57" s="4" t="s">
        <v>44</v>
      </c>
      <c r="D57" s="5">
        <v>1.0</v>
      </c>
      <c r="E57" s="5">
        <v>0.0</v>
      </c>
      <c r="F57" s="5">
        <v>0.0</v>
      </c>
    </row>
    <row r="58" ht="15.75" customHeight="1">
      <c r="A58" s="4" t="s">
        <v>96</v>
      </c>
      <c r="B58" s="4" t="s">
        <v>40</v>
      </c>
      <c r="C58" s="4" t="s">
        <v>44</v>
      </c>
      <c r="D58" s="5">
        <v>1.0</v>
      </c>
      <c r="E58" s="5">
        <v>0.0</v>
      </c>
      <c r="F58" s="5">
        <v>0.0</v>
      </c>
    </row>
    <row r="59" ht="15.75" customHeight="1">
      <c r="A59" s="4" t="s">
        <v>97</v>
      </c>
      <c r="B59" s="4" t="s">
        <v>40</v>
      </c>
      <c r="C59" s="4" t="s">
        <v>44</v>
      </c>
      <c r="D59" s="5">
        <v>1.0</v>
      </c>
      <c r="E59" s="5">
        <v>0.0</v>
      </c>
      <c r="F59" s="5">
        <v>0.0</v>
      </c>
    </row>
    <row r="60" ht="15.75" customHeight="1">
      <c r="A60" s="4" t="s">
        <v>98</v>
      </c>
      <c r="B60" s="4" t="s">
        <v>40</v>
      </c>
      <c r="C60" s="4" t="s">
        <v>44</v>
      </c>
      <c r="D60" s="5">
        <v>1.0</v>
      </c>
      <c r="E60" s="5">
        <v>0.0</v>
      </c>
      <c r="F60" s="5">
        <v>0.0</v>
      </c>
    </row>
    <row r="61" ht="15.75" customHeight="1">
      <c r="A61" s="4" t="s">
        <v>99</v>
      </c>
      <c r="B61" s="4" t="s">
        <v>40</v>
      </c>
      <c r="C61" s="4" t="s">
        <v>44</v>
      </c>
      <c r="D61" s="5">
        <v>1.0</v>
      </c>
      <c r="E61" s="5">
        <v>0.0</v>
      </c>
      <c r="F61" s="5">
        <v>0.0</v>
      </c>
    </row>
    <row r="62" ht="15.75" customHeight="1">
      <c r="A62" s="4" t="s">
        <v>100</v>
      </c>
      <c r="B62" s="4" t="s">
        <v>40</v>
      </c>
      <c r="C62" s="4" t="s">
        <v>44</v>
      </c>
      <c r="D62" s="5">
        <v>1.0</v>
      </c>
      <c r="E62" s="5">
        <v>0.0</v>
      </c>
      <c r="F62" s="5">
        <v>0.0</v>
      </c>
    </row>
    <row r="63" ht="15.75" customHeight="1">
      <c r="A63" s="4" t="s">
        <v>101</v>
      </c>
      <c r="B63" s="4" t="s">
        <v>40</v>
      </c>
      <c r="C63" s="4" t="s">
        <v>44</v>
      </c>
      <c r="D63" s="5">
        <v>1.0</v>
      </c>
      <c r="E63" s="5">
        <v>0.0</v>
      </c>
      <c r="F63" s="5">
        <v>0.0</v>
      </c>
    </row>
    <row r="64" ht="15.75" customHeight="1">
      <c r="A64" s="4" t="s">
        <v>102</v>
      </c>
      <c r="B64" s="4" t="s">
        <v>40</v>
      </c>
      <c r="C64" s="4" t="s">
        <v>44</v>
      </c>
      <c r="D64" s="5">
        <v>1.0</v>
      </c>
      <c r="E64" s="5">
        <v>0.0</v>
      </c>
      <c r="F64" s="5">
        <v>0.0</v>
      </c>
    </row>
    <row r="65" ht="15.75" customHeight="1">
      <c r="A65" s="4" t="s">
        <v>103</v>
      </c>
      <c r="B65" s="4" t="s">
        <v>40</v>
      </c>
      <c r="C65" s="4" t="s">
        <v>44</v>
      </c>
      <c r="D65" s="5">
        <v>1.0</v>
      </c>
      <c r="E65" s="5">
        <v>0.0</v>
      </c>
      <c r="F65" s="5">
        <v>0.0</v>
      </c>
    </row>
    <row r="66" ht="15.75" customHeight="1">
      <c r="A66" s="4" t="s">
        <v>104</v>
      </c>
      <c r="B66" s="4" t="s">
        <v>40</v>
      </c>
      <c r="C66" s="4" t="s">
        <v>44</v>
      </c>
      <c r="D66" s="5">
        <v>1.0</v>
      </c>
      <c r="E66" s="5">
        <v>0.0</v>
      </c>
      <c r="F66" s="5">
        <v>0.0</v>
      </c>
    </row>
    <row r="67" ht="15.75" customHeight="1">
      <c r="A67" s="4" t="s">
        <v>105</v>
      </c>
      <c r="B67" s="4" t="s">
        <v>40</v>
      </c>
      <c r="C67" s="4" t="s">
        <v>44</v>
      </c>
      <c r="D67" s="5">
        <v>1.0</v>
      </c>
      <c r="E67" s="5">
        <v>0.0</v>
      </c>
      <c r="F67" s="5">
        <v>0.0</v>
      </c>
    </row>
    <row r="68" ht="15.75" customHeight="1">
      <c r="A68" s="4" t="s">
        <v>106</v>
      </c>
      <c r="B68" s="4" t="s">
        <v>40</v>
      </c>
      <c r="C68" s="4" t="s">
        <v>44</v>
      </c>
      <c r="D68" s="5">
        <v>1.0</v>
      </c>
      <c r="E68" s="5">
        <v>0.0</v>
      </c>
      <c r="F68" s="5">
        <v>0.0</v>
      </c>
    </row>
    <row r="69" ht="15.75" customHeight="1">
      <c r="A69" s="4" t="s">
        <v>107</v>
      </c>
      <c r="B69" s="4" t="s">
        <v>40</v>
      </c>
      <c r="C69" s="4" t="s">
        <v>44</v>
      </c>
      <c r="D69" s="5">
        <v>1.0</v>
      </c>
      <c r="E69" s="5">
        <v>0.0</v>
      </c>
      <c r="F69" s="5">
        <v>0.0</v>
      </c>
    </row>
    <row r="70" ht="15.75" customHeight="1">
      <c r="A70" s="4" t="s">
        <v>108</v>
      </c>
      <c r="B70" s="4" t="s">
        <v>40</v>
      </c>
      <c r="C70" s="4" t="s">
        <v>44</v>
      </c>
      <c r="D70" s="5">
        <v>1.0</v>
      </c>
      <c r="E70" s="5">
        <v>0.0</v>
      </c>
      <c r="F70" s="5">
        <v>0.0</v>
      </c>
    </row>
    <row r="71" ht="15.75" customHeight="1">
      <c r="A71" s="4" t="s">
        <v>109</v>
      </c>
      <c r="B71" s="4" t="s">
        <v>40</v>
      </c>
      <c r="C71" s="4" t="s">
        <v>44</v>
      </c>
      <c r="D71" s="5">
        <v>1.0</v>
      </c>
      <c r="E71" s="5">
        <v>0.0</v>
      </c>
      <c r="F71" s="5">
        <v>0.0</v>
      </c>
    </row>
    <row r="72" ht="15.75" customHeight="1">
      <c r="A72" s="4" t="s">
        <v>110</v>
      </c>
      <c r="B72" s="4" t="s">
        <v>40</v>
      </c>
      <c r="C72" s="4" t="s">
        <v>44</v>
      </c>
      <c r="D72" s="5">
        <v>1.0</v>
      </c>
      <c r="E72" s="5">
        <v>0.0</v>
      </c>
      <c r="F72" s="5">
        <v>0.0</v>
      </c>
    </row>
    <row r="73" ht="15.75" customHeight="1">
      <c r="A73" s="4" t="s">
        <v>111</v>
      </c>
      <c r="B73" s="4" t="s">
        <v>40</v>
      </c>
      <c r="C73" s="4" t="s">
        <v>44</v>
      </c>
      <c r="D73" s="5">
        <v>1.0</v>
      </c>
      <c r="E73" s="5">
        <v>0.0</v>
      </c>
      <c r="F73" s="5">
        <v>0.0</v>
      </c>
    </row>
    <row r="74" ht="15.75" customHeight="1">
      <c r="A74" s="4" t="s">
        <v>112</v>
      </c>
      <c r="B74" s="4" t="s">
        <v>40</v>
      </c>
      <c r="C74" s="4" t="s">
        <v>44</v>
      </c>
      <c r="D74" s="5">
        <v>1.0</v>
      </c>
      <c r="E74" s="5">
        <v>0.0</v>
      </c>
      <c r="F74" s="5">
        <v>0.0</v>
      </c>
    </row>
    <row r="75" ht="15.75" customHeight="1">
      <c r="A75" s="4" t="s">
        <v>113</v>
      </c>
      <c r="B75" s="4" t="s">
        <v>40</v>
      </c>
      <c r="C75" s="4" t="s">
        <v>44</v>
      </c>
      <c r="D75" s="5">
        <v>1.0</v>
      </c>
      <c r="E75" s="5">
        <v>0.0</v>
      </c>
      <c r="F75" s="5">
        <v>0.0</v>
      </c>
    </row>
    <row r="76" ht="15.75" customHeight="1">
      <c r="A76" s="4" t="s">
        <v>114</v>
      </c>
      <c r="B76" s="4" t="s">
        <v>40</v>
      </c>
      <c r="C76" s="4" t="s">
        <v>44</v>
      </c>
      <c r="D76" s="5">
        <v>1.0</v>
      </c>
      <c r="E76" s="5">
        <v>0.0</v>
      </c>
      <c r="F76" s="5">
        <v>0.0</v>
      </c>
    </row>
    <row r="77" ht="15.75" customHeight="1">
      <c r="A77" s="4" t="s">
        <v>115</v>
      </c>
      <c r="B77" s="4" t="s">
        <v>40</v>
      </c>
      <c r="C77" s="4" t="s">
        <v>44</v>
      </c>
      <c r="D77" s="5">
        <v>1.0</v>
      </c>
      <c r="E77" s="5">
        <v>0.0</v>
      </c>
      <c r="F77" s="5">
        <v>0.0</v>
      </c>
    </row>
    <row r="78" ht="15.75" customHeight="1">
      <c r="A78" s="4" t="s">
        <v>116</v>
      </c>
      <c r="B78" s="4" t="s">
        <v>40</v>
      </c>
      <c r="C78" s="4" t="s">
        <v>44</v>
      </c>
      <c r="D78" s="5">
        <v>1.0</v>
      </c>
      <c r="E78" s="5">
        <v>0.0</v>
      </c>
      <c r="F78" s="5">
        <v>0.0</v>
      </c>
    </row>
    <row r="79" ht="15.75" customHeight="1">
      <c r="A79" s="4" t="s">
        <v>117</v>
      </c>
      <c r="B79" s="4" t="s">
        <v>40</v>
      </c>
      <c r="C79" s="4" t="s">
        <v>44</v>
      </c>
      <c r="D79" s="5">
        <v>1.0</v>
      </c>
      <c r="E79" s="5">
        <v>0.0</v>
      </c>
      <c r="F79" s="5">
        <v>0.0</v>
      </c>
    </row>
    <row r="80" ht="15.75" customHeight="1">
      <c r="A80" s="4" t="s">
        <v>118</v>
      </c>
      <c r="B80" s="4" t="s">
        <v>40</v>
      </c>
      <c r="C80" s="4" t="s">
        <v>44</v>
      </c>
      <c r="D80" s="5">
        <v>1.0</v>
      </c>
      <c r="E80" s="5">
        <v>0.0</v>
      </c>
      <c r="F80" s="5">
        <v>0.0</v>
      </c>
    </row>
    <row r="81" ht="15.75" customHeight="1">
      <c r="A81" s="4" t="s">
        <v>119</v>
      </c>
      <c r="B81" s="4" t="s">
        <v>40</v>
      </c>
      <c r="C81" s="4" t="s">
        <v>44</v>
      </c>
      <c r="D81" s="5">
        <v>1.0</v>
      </c>
      <c r="E81" s="5">
        <v>0.0</v>
      </c>
      <c r="F81" s="5">
        <v>0.0</v>
      </c>
    </row>
    <row r="82" ht="15.75" customHeight="1">
      <c r="A82" s="4" t="s">
        <v>120</v>
      </c>
      <c r="B82" s="4" t="s">
        <v>40</v>
      </c>
      <c r="C82" s="4" t="s">
        <v>44</v>
      </c>
      <c r="D82" s="5">
        <v>1.0</v>
      </c>
      <c r="E82" s="5">
        <v>0.0</v>
      </c>
      <c r="F82" s="5">
        <v>0.0</v>
      </c>
    </row>
    <row r="83" ht="15.75" customHeight="1">
      <c r="A83" s="4" t="s">
        <v>121</v>
      </c>
      <c r="B83" s="4" t="s">
        <v>40</v>
      </c>
      <c r="C83" s="4" t="s">
        <v>44</v>
      </c>
      <c r="D83" s="5">
        <v>1.0</v>
      </c>
      <c r="E83" s="5">
        <v>0.0</v>
      </c>
      <c r="F83" s="5">
        <v>0.0</v>
      </c>
    </row>
    <row r="84" ht="15.75" customHeight="1">
      <c r="A84" s="4" t="s">
        <v>122</v>
      </c>
      <c r="B84" s="4" t="s">
        <v>40</v>
      </c>
      <c r="C84" s="4" t="s">
        <v>44</v>
      </c>
      <c r="D84" s="5">
        <v>1.0</v>
      </c>
      <c r="E84" s="5">
        <v>0.0</v>
      </c>
      <c r="F84" s="5">
        <v>0.0</v>
      </c>
    </row>
    <row r="85" ht="15.75" customHeight="1">
      <c r="A85" s="4" t="s">
        <v>123</v>
      </c>
      <c r="B85" s="4" t="s">
        <v>40</v>
      </c>
      <c r="C85" s="4" t="s">
        <v>44</v>
      </c>
      <c r="D85" s="5">
        <v>1.0</v>
      </c>
      <c r="E85" s="5">
        <v>0.0</v>
      </c>
      <c r="F85" s="5">
        <v>0.0</v>
      </c>
    </row>
    <row r="86" ht="15.75" customHeight="1">
      <c r="A86" s="4" t="s">
        <v>124</v>
      </c>
      <c r="B86" s="4" t="s">
        <v>40</v>
      </c>
      <c r="C86" s="4" t="s">
        <v>44</v>
      </c>
      <c r="D86" s="5">
        <v>1.0</v>
      </c>
      <c r="E86" s="5">
        <v>0.0</v>
      </c>
      <c r="F86" s="5">
        <v>0.0</v>
      </c>
    </row>
    <row r="87" ht="15.75" customHeight="1">
      <c r="A87" s="4" t="s">
        <v>125</v>
      </c>
      <c r="B87" s="4" t="s">
        <v>40</v>
      </c>
      <c r="C87" s="4" t="s">
        <v>44</v>
      </c>
      <c r="D87" s="5">
        <v>1.0</v>
      </c>
      <c r="E87" s="5">
        <v>0.0</v>
      </c>
      <c r="F87" s="5">
        <v>0.0</v>
      </c>
    </row>
    <row r="88" ht="15.75" customHeight="1">
      <c r="A88" s="4" t="s">
        <v>126</v>
      </c>
      <c r="B88" s="4" t="s">
        <v>40</v>
      </c>
      <c r="C88" s="4" t="s">
        <v>44</v>
      </c>
      <c r="D88" s="5">
        <v>1.0</v>
      </c>
      <c r="E88" s="5">
        <v>0.0</v>
      </c>
      <c r="F88" s="5">
        <v>0.0</v>
      </c>
    </row>
    <row r="89" ht="15.75" customHeight="1">
      <c r="A89" s="4" t="s">
        <v>127</v>
      </c>
      <c r="B89" s="4" t="s">
        <v>37</v>
      </c>
      <c r="C89" s="4" t="s">
        <v>128</v>
      </c>
      <c r="D89" s="5">
        <v>0.0</v>
      </c>
      <c r="E89" s="5">
        <v>0.0</v>
      </c>
      <c r="F89" s="5">
        <v>1.0</v>
      </c>
    </row>
    <row r="90" ht="15.75" customHeight="1">
      <c r="A90" s="4" t="s">
        <v>129</v>
      </c>
      <c r="B90" s="4" t="s">
        <v>40</v>
      </c>
      <c r="C90" s="4" t="s">
        <v>128</v>
      </c>
      <c r="D90" s="5">
        <v>0.0</v>
      </c>
      <c r="E90" s="5">
        <v>0.0</v>
      </c>
      <c r="F90" s="5">
        <v>1.0</v>
      </c>
    </row>
    <row r="91" ht="15.75" customHeight="1">
      <c r="A91" s="4" t="s">
        <v>130</v>
      </c>
      <c r="B91" s="4" t="s">
        <v>40</v>
      </c>
      <c r="C91" s="4" t="s">
        <v>128</v>
      </c>
      <c r="D91" s="5">
        <v>0.0</v>
      </c>
      <c r="E91" s="5">
        <v>0.0</v>
      </c>
      <c r="F91" s="5">
        <v>1.0</v>
      </c>
    </row>
    <row r="92" ht="15.75" customHeight="1">
      <c r="A92" s="4" t="s">
        <v>131</v>
      </c>
      <c r="B92" s="4" t="s">
        <v>40</v>
      </c>
      <c r="C92" s="4" t="s">
        <v>128</v>
      </c>
      <c r="D92" s="5">
        <v>0.0</v>
      </c>
      <c r="E92" s="5">
        <v>0.0</v>
      </c>
      <c r="F92" s="5">
        <v>1.0</v>
      </c>
    </row>
    <row r="93" ht="15.75" customHeight="1">
      <c r="A93" s="4" t="s">
        <v>132</v>
      </c>
      <c r="B93" s="4" t="s">
        <v>40</v>
      </c>
      <c r="C93" s="4" t="s">
        <v>128</v>
      </c>
      <c r="D93" s="5">
        <v>0.0</v>
      </c>
      <c r="E93" s="5">
        <v>0.0</v>
      </c>
      <c r="F93" s="5">
        <v>1.0</v>
      </c>
    </row>
    <row r="94" ht="15.75" customHeight="1">
      <c r="A94" s="4" t="s">
        <v>133</v>
      </c>
      <c r="B94" s="4" t="s">
        <v>40</v>
      </c>
      <c r="C94" s="4" t="s">
        <v>128</v>
      </c>
      <c r="D94" s="5">
        <v>0.0</v>
      </c>
      <c r="E94" s="5">
        <v>0.0</v>
      </c>
      <c r="F94" s="5">
        <v>1.0</v>
      </c>
    </row>
    <row r="95" ht="15.75" customHeight="1">
      <c r="A95" s="4" t="s">
        <v>134</v>
      </c>
      <c r="B95" s="4" t="s">
        <v>40</v>
      </c>
      <c r="C95" s="4" t="s">
        <v>128</v>
      </c>
      <c r="D95" s="5">
        <v>0.0</v>
      </c>
      <c r="E95" s="5">
        <v>0.0</v>
      </c>
      <c r="F95" s="5">
        <v>1.0</v>
      </c>
    </row>
    <row r="96" ht="15.75" customHeight="1">
      <c r="A96" s="4" t="s">
        <v>135</v>
      </c>
      <c r="B96" s="4" t="s">
        <v>40</v>
      </c>
      <c r="C96" s="4" t="s">
        <v>128</v>
      </c>
      <c r="D96" s="5">
        <v>0.0</v>
      </c>
      <c r="E96" s="5">
        <v>0.0</v>
      </c>
      <c r="F96" s="5">
        <v>1.0</v>
      </c>
    </row>
    <row r="97" ht="15.75" customHeight="1">
      <c r="A97" s="4" t="s">
        <v>136</v>
      </c>
      <c r="B97" s="4" t="s">
        <v>37</v>
      </c>
      <c r="C97" s="4" t="s">
        <v>137</v>
      </c>
      <c r="D97" s="5">
        <v>0.0</v>
      </c>
      <c r="E97" s="5">
        <v>0.6</v>
      </c>
      <c r="F97" s="5">
        <v>0.4</v>
      </c>
    </row>
    <row r="98" ht="15.75" customHeight="1">
      <c r="A98" s="4" t="s">
        <v>138</v>
      </c>
      <c r="B98" s="4" t="s">
        <v>40</v>
      </c>
      <c r="C98" s="4" t="s">
        <v>38</v>
      </c>
      <c r="D98" s="5">
        <v>0.0</v>
      </c>
      <c r="E98" s="5">
        <v>1.0</v>
      </c>
      <c r="F98" s="5">
        <v>0.0</v>
      </c>
    </row>
    <row r="99" ht="15.75" customHeight="1">
      <c r="A99" s="4" t="s">
        <v>139</v>
      </c>
      <c r="B99" s="4" t="s">
        <v>40</v>
      </c>
      <c r="C99" s="4" t="s">
        <v>128</v>
      </c>
      <c r="D99" s="5">
        <v>0.0</v>
      </c>
      <c r="E99" s="5">
        <v>0.0</v>
      </c>
      <c r="F99" s="5">
        <v>1.0</v>
      </c>
    </row>
    <row r="100" ht="15.75" customHeight="1">
      <c r="A100" s="4" t="s">
        <v>140</v>
      </c>
      <c r="B100" s="4" t="s">
        <v>40</v>
      </c>
      <c r="C100" s="4" t="s">
        <v>137</v>
      </c>
      <c r="D100" s="5">
        <v>0.0</v>
      </c>
      <c r="E100" s="5">
        <v>0.5</v>
      </c>
      <c r="F100" s="5">
        <v>0.5</v>
      </c>
    </row>
    <row r="101" ht="15.75" customHeight="1">
      <c r="A101" s="4" t="s">
        <v>141</v>
      </c>
      <c r="B101" s="4" t="s">
        <v>40</v>
      </c>
      <c r="C101" s="4" t="s">
        <v>38</v>
      </c>
      <c r="D101" s="5">
        <v>0.0</v>
      </c>
      <c r="E101" s="5">
        <v>1.0</v>
      </c>
      <c r="F101" s="5">
        <v>0.0</v>
      </c>
    </row>
    <row r="102" ht="15.75" customHeight="1">
      <c r="A102" s="4" t="s">
        <v>142</v>
      </c>
      <c r="B102" s="4" t="s">
        <v>37</v>
      </c>
      <c r="C102" s="4" t="s">
        <v>38</v>
      </c>
      <c r="D102" s="5">
        <v>0.0</v>
      </c>
      <c r="E102" s="5">
        <v>1.0</v>
      </c>
      <c r="F102" s="5">
        <v>0.0</v>
      </c>
    </row>
    <row r="103" ht="15.75" customHeight="1">
      <c r="A103" s="4" t="s">
        <v>143</v>
      </c>
      <c r="B103" s="4" t="s">
        <v>40</v>
      </c>
      <c r="C103" s="4" t="s">
        <v>38</v>
      </c>
      <c r="D103" s="5">
        <v>0.0</v>
      </c>
      <c r="E103" s="5">
        <v>1.0</v>
      </c>
      <c r="F103" s="5">
        <v>0.0</v>
      </c>
    </row>
    <row r="104" ht="15.75" customHeight="1">
      <c r="A104" s="4" t="s">
        <v>144</v>
      </c>
      <c r="B104" s="4" t="s">
        <v>37</v>
      </c>
      <c r="C104" s="4" t="s">
        <v>38</v>
      </c>
      <c r="D104" s="5">
        <v>0.0</v>
      </c>
      <c r="E104" s="5">
        <v>1.0</v>
      </c>
      <c r="F104" s="5">
        <v>0.0</v>
      </c>
    </row>
    <row r="105" ht="15.75" customHeight="1">
      <c r="A105" s="4" t="s">
        <v>145</v>
      </c>
      <c r="B105" s="4" t="s">
        <v>40</v>
      </c>
      <c r="C105" s="4" t="s">
        <v>38</v>
      </c>
      <c r="D105" s="5">
        <v>0.0</v>
      </c>
      <c r="E105" s="5">
        <v>1.0</v>
      </c>
      <c r="F105" s="5">
        <v>0.0</v>
      </c>
    </row>
    <row r="106" ht="15.75" customHeight="1">
      <c r="A106" s="4" t="s">
        <v>146</v>
      </c>
      <c r="B106" s="4" t="s">
        <v>40</v>
      </c>
      <c r="C106" s="4" t="s">
        <v>38</v>
      </c>
      <c r="D106" s="5">
        <v>0.0</v>
      </c>
      <c r="E106" s="5">
        <v>1.0</v>
      </c>
      <c r="F106" s="5">
        <v>0.0</v>
      </c>
    </row>
    <row r="107" ht="15.75" customHeight="1">
      <c r="A107" s="4" t="s">
        <v>147</v>
      </c>
      <c r="B107" s="4" t="s">
        <v>40</v>
      </c>
      <c r="C107" s="4" t="s">
        <v>38</v>
      </c>
      <c r="D107" s="5">
        <v>0.0</v>
      </c>
      <c r="E107" s="5">
        <v>1.0</v>
      </c>
      <c r="F107" s="5">
        <v>0.0</v>
      </c>
    </row>
    <row r="108" ht="15.75" customHeight="1">
      <c r="A108" s="4" t="s">
        <v>147</v>
      </c>
      <c r="B108" s="4" t="s">
        <v>40</v>
      </c>
      <c r="C108" s="4" t="s">
        <v>38</v>
      </c>
      <c r="D108" s="5">
        <v>0.0</v>
      </c>
      <c r="E108" s="5">
        <v>1.0</v>
      </c>
      <c r="F108" s="5">
        <v>0.0</v>
      </c>
    </row>
    <row r="109" ht="15.75" customHeight="1">
      <c r="A109" s="4" t="s">
        <v>148</v>
      </c>
      <c r="B109" s="4" t="s">
        <v>40</v>
      </c>
      <c r="C109" s="4" t="s">
        <v>38</v>
      </c>
      <c r="D109" s="5">
        <v>0.0</v>
      </c>
      <c r="E109" s="5">
        <v>1.0</v>
      </c>
      <c r="F109" s="5">
        <v>0.0</v>
      </c>
    </row>
    <row r="110" ht="15.75" customHeight="1">
      <c r="A110" s="4" t="s">
        <v>149</v>
      </c>
      <c r="B110" s="4" t="s">
        <v>40</v>
      </c>
      <c r="C110" s="4" t="s">
        <v>38</v>
      </c>
      <c r="D110" s="5">
        <v>0.0</v>
      </c>
      <c r="E110" s="5">
        <v>1.0</v>
      </c>
      <c r="F110" s="5">
        <v>0.0</v>
      </c>
    </row>
    <row r="111" ht="15.75" customHeight="1">
      <c r="A111" s="4" t="s">
        <v>150</v>
      </c>
      <c r="B111" s="4" t="s">
        <v>40</v>
      </c>
      <c r="C111" s="4" t="s">
        <v>38</v>
      </c>
      <c r="D111" s="5">
        <v>0.0</v>
      </c>
      <c r="E111" s="5">
        <v>1.0</v>
      </c>
      <c r="F111" s="5">
        <v>0.0</v>
      </c>
    </row>
    <row r="112" ht="15.75" customHeight="1">
      <c r="A112" s="4" t="s">
        <v>151</v>
      </c>
      <c r="B112" s="4" t="s">
        <v>40</v>
      </c>
      <c r="C112" s="4" t="s">
        <v>38</v>
      </c>
      <c r="D112" s="5">
        <v>0.0</v>
      </c>
      <c r="E112" s="5">
        <v>1.0</v>
      </c>
      <c r="F112" s="5">
        <v>0.0</v>
      </c>
    </row>
    <row r="113" ht="15.75" customHeight="1">
      <c r="A113" s="4" t="s">
        <v>152</v>
      </c>
      <c r="B113" s="4" t="s">
        <v>40</v>
      </c>
      <c r="C113" s="4" t="s">
        <v>38</v>
      </c>
      <c r="D113" s="5">
        <v>0.0</v>
      </c>
      <c r="E113" s="5">
        <v>1.0</v>
      </c>
      <c r="F113" s="5">
        <v>0.0</v>
      </c>
    </row>
    <row r="114" ht="15.75" customHeight="1">
      <c r="A114" s="4" t="s">
        <v>153</v>
      </c>
      <c r="B114" s="4" t="s">
        <v>40</v>
      </c>
      <c r="C114" s="4" t="s">
        <v>38</v>
      </c>
      <c r="D114" s="5">
        <v>0.0</v>
      </c>
      <c r="E114" s="5">
        <v>1.0</v>
      </c>
      <c r="F114" s="5">
        <v>0.0</v>
      </c>
    </row>
    <row r="115" ht="15.75" customHeight="1">
      <c r="A115" s="4" t="s">
        <v>154</v>
      </c>
      <c r="B115" s="4" t="s">
        <v>40</v>
      </c>
      <c r="C115" s="4" t="s">
        <v>38</v>
      </c>
      <c r="D115" s="5">
        <v>0.0</v>
      </c>
      <c r="E115" s="5">
        <v>1.0</v>
      </c>
      <c r="F115" s="5">
        <v>0.0</v>
      </c>
    </row>
    <row r="116" ht="15.75" customHeight="1">
      <c r="A116" s="4" t="s">
        <v>155</v>
      </c>
      <c r="B116" s="4" t="s">
        <v>40</v>
      </c>
      <c r="C116" s="4" t="s">
        <v>38</v>
      </c>
      <c r="D116" s="5">
        <v>0.0</v>
      </c>
      <c r="E116" s="5">
        <v>1.0</v>
      </c>
      <c r="F116" s="5">
        <v>0.0</v>
      </c>
    </row>
    <row r="117" ht="15.75" customHeight="1">
      <c r="A117" s="4" t="s">
        <v>156</v>
      </c>
      <c r="B117" s="4" t="s">
        <v>157</v>
      </c>
      <c r="C117" s="4" t="s">
        <v>38</v>
      </c>
      <c r="D117" s="5">
        <v>0.0</v>
      </c>
      <c r="E117" s="5">
        <v>1.0</v>
      </c>
      <c r="F117" s="5">
        <v>0.0</v>
      </c>
    </row>
    <row r="118" ht="15.75" customHeight="1">
      <c r="A118" s="4" t="s">
        <v>158</v>
      </c>
      <c r="B118" s="4" t="s">
        <v>37</v>
      </c>
      <c r="C118" s="4" t="s">
        <v>38</v>
      </c>
      <c r="D118" s="5">
        <v>0.0</v>
      </c>
      <c r="E118" s="5">
        <v>1.0</v>
      </c>
      <c r="F118" s="5">
        <v>0.0</v>
      </c>
    </row>
    <row r="119" ht="15.75" customHeight="1">
      <c r="A119" s="4" t="s">
        <v>159</v>
      </c>
      <c r="B119" s="4" t="s">
        <v>40</v>
      </c>
      <c r="C119" s="4" t="s">
        <v>38</v>
      </c>
      <c r="D119" s="5">
        <v>0.0</v>
      </c>
      <c r="E119" s="5">
        <v>1.0</v>
      </c>
      <c r="F119" s="5">
        <v>0.0</v>
      </c>
    </row>
    <row r="120" ht="15.75" customHeight="1">
      <c r="A120" s="4" t="s">
        <v>160</v>
      </c>
      <c r="B120" s="4" t="s">
        <v>157</v>
      </c>
      <c r="C120" s="4" t="s">
        <v>38</v>
      </c>
      <c r="D120" s="5">
        <v>0.0</v>
      </c>
      <c r="E120" s="5">
        <v>1.0</v>
      </c>
      <c r="F120" s="5">
        <v>0.0</v>
      </c>
    </row>
    <row r="121" ht="15.75" customHeight="1">
      <c r="A121" s="4" t="s">
        <v>161</v>
      </c>
      <c r="B121" s="4" t="s">
        <v>37</v>
      </c>
      <c r="C121" s="4" t="s">
        <v>38</v>
      </c>
      <c r="D121" s="5">
        <v>0.0</v>
      </c>
      <c r="E121" s="5">
        <v>1.0</v>
      </c>
      <c r="F121" s="5">
        <v>0.0</v>
      </c>
    </row>
    <row r="122" ht="15.75" customHeight="1">
      <c r="A122" s="4" t="s">
        <v>162</v>
      </c>
      <c r="B122" s="4" t="s">
        <v>40</v>
      </c>
      <c r="C122" s="4" t="s">
        <v>38</v>
      </c>
      <c r="D122" s="5">
        <v>0.0</v>
      </c>
      <c r="E122" s="5">
        <v>1.0</v>
      </c>
      <c r="F122" s="5">
        <v>0.0</v>
      </c>
    </row>
    <row r="123" ht="15.75" customHeight="1">
      <c r="A123" s="4" t="s">
        <v>163</v>
      </c>
      <c r="B123" s="4" t="s">
        <v>37</v>
      </c>
      <c r="C123" s="4" t="s">
        <v>38</v>
      </c>
      <c r="D123" s="5">
        <v>0.0</v>
      </c>
      <c r="E123" s="5">
        <v>1.0</v>
      </c>
      <c r="F123" s="5">
        <v>0.0</v>
      </c>
    </row>
    <row r="124" ht="15.75" customHeight="1">
      <c r="A124" s="4" t="s">
        <v>164</v>
      </c>
      <c r="B124" s="4" t="s">
        <v>40</v>
      </c>
      <c r="C124" s="4" t="s">
        <v>38</v>
      </c>
      <c r="D124" s="5">
        <v>0.0</v>
      </c>
      <c r="E124" s="5">
        <v>1.0</v>
      </c>
      <c r="F124" s="5">
        <v>0.0</v>
      </c>
    </row>
    <row r="125" ht="15.75" customHeight="1">
      <c r="A125" s="4" t="s">
        <v>165</v>
      </c>
      <c r="B125" s="4" t="s">
        <v>37</v>
      </c>
      <c r="C125" s="4" t="s">
        <v>38</v>
      </c>
      <c r="D125" s="5">
        <v>0.0</v>
      </c>
      <c r="E125" s="5">
        <v>1.0</v>
      </c>
      <c r="F125" s="5">
        <v>0.0</v>
      </c>
    </row>
    <row r="126" ht="15.75" customHeight="1">
      <c r="A126" s="4" t="s">
        <v>166</v>
      </c>
      <c r="B126" s="4" t="s">
        <v>37</v>
      </c>
      <c r="C126" s="4" t="s">
        <v>38</v>
      </c>
      <c r="D126" s="5">
        <v>0.0</v>
      </c>
      <c r="E126" s="5">
        <v>1.0</v>
      </c>
      <c r="F126" s="5">
        <v>0.0</v>
      </c>
    </row>
    <row r="127" ht="15.75" customHeight="1">
      <c r="A127" s="4" t="s">
        <v>167</v>
      </c>
      <c r="B127" s="4" t="s">
        <v>40</v>
      </c>
      <c r="C127" s="4" t="s">
        <v>38</v>
      </c>
      <c r="D127" s="5">
        <v>0.0</v>
      </c>
      <c r="E127" s="5">
        <v>1.0</v>
      </c>
      <c r="F127" s="5">
        <v>0.0</v>
      </c>
    </row>
    <row r="128" ht="33.75" customHeight="1">
      <c r="A128" s="4" t="s">
        <v>168</v>
      </c>
      <c r="B128" s="4" t="s">
        <v>37</v>
      </c>
      <c r="C128" s="4" t="s">
        <v>137</v>
      </c>
      <c r="D128" s="5">
        <v>0.0</v>
      </c>
      <c r="E128" s="5">
        <v>0.67</v>
      </c>
      <c r="F128" s="5">
        <v>0.33</v>
      </c>
    </row>
    <row r="129" ht="15.75" customHeight="1">
      <c r="A129" s="4" t="s">
        <v>169</v>
      </c>
      <c r="B129" s="4" t="s">
        <v>40</v>
      </c>
      <c r="C129" s="4" t="s">
        <v>137</v>
      </c>
      <c r="D129" s="5">
        <v>0.0</v>
      </c>
      <c r="E129" s="5">
        <v>0.5</v>
      </c>
      <c r="F129" s="5">
        <v>0.5</v>
      </c>
    </row>
    <row r="130" ht="15.75" customHeight="1">
      <c r="A130" s="4" t="s">
        <v>170</v>
      </c>
      <c r="B130" s="4" t="s">
        <v>40</v>
      </c>
      <c r="C130" s="4" t="s">
        <v>38</v>
      </c>
      <c r="D130" s="5">
        <v>0.0</v>
      </c>
      <c r="E130" s="5">
        <v>1.0</v>
      </c>
      <c r="F130" s="5">
        <v>0.0</v>
      </c>
    </row>
    <row r="131" ht="15.75" customHeight="1">
      <c r="A131" s="4" t="s">
        <v>171</v>
      </c>
      <c r="B131" s="4" t="s">
        <v>37</v>
      </c>
      <c r="C131" s="4" t="s">
        <v>38</v>
      </c>
      <c r="D131" s="5">
        <v>0.0</v>
      </c>
      <c r="E131" s="5">
        <v>1.0</v>
      </c>
      <c r="F131" s="5">
        <v>0.0</v>
      </c>
    </row>
    <row r="132" ht="15.75" customHeight="1">
      <c r="A132" s="4" t="s">
        <v>172</v>
      </c>
      <c r="B132" s="4" t="s">
        <v>40</v>
      </c>
      <c r="C132" s="4" t="s">
        <v>38</v>
      </c>
      <c r="D132" s="5">
        <v>0.0</v>
      </c>
      <c r="E132" s="5">
        <v>1.0</v>
      </c>
      <c r="F132" s="5">
        <v>0.0</v>
      </c>
    </row>
    <row r="133" ht="15.75" customHeight="1">
      <c r="A133" s="4" t="s">
        <v>173</v>
      </c>
      <c r="B133" s="4" t="s">
        <v>37</v>
      </c>
      <c r="C133" s="4" t="s">
        <v>38</v>
      </c>
      <c r="D133" s="5">
        <v>0.0</v>
      </c>
      <c r="E133" s="5">
        <v>1.0</v>
      </c>
      <c r="F133" s="5">
        <v>0.0</v>
      </c>
    </row>
    <row r="134" ht="15.75" customHeight="1">
      <c r="A134" s="4" t="s">
        <v>174</v>
      </c>
      <c r="B134" s="4" t="s">
        <v>40</v>
      </c>
      <c r="C134" s="4" t="s">
        <v>38</v>
      </c>
      <c r="D134" s="5">
        <v>0.0</v>
      </c>
      <c r="E134" s="5">
        <v>1.0</v>
      </c>
      <c r="F134" s="5">
        <v>0.0</v>
      </c>
    </row>
    <row r="135" ht="15.75" customHeight="1">
      <c r="A135" s="4" t="s">
        <v>175</v>
      </c>
      <c r="B135" s="4" t="s">
        <v>37</v>
      </c>
      <c r="C135" s="4" t="s">
        <v>38</v>
      </c>
      <c r="D135" s="5">
        <v>0.0</v>
      </c>
      <c r="E135" s="5">
        <v>1.0</v>
      </c>
      <c r="F135" s="5">
        <v>0.0</v>
      </c>
    </row>
    <row r="136" ht="15.75" customHeight="1">
      <c r="A136" s="4" t="s">
        <v>176</v>
      </c>
      <c r="B136" s="4" t="s">
        <v>40</v>
      </c>
      <c r="C136" s="4" t="s">
        <v>38</v>
      </c>
      <c r="D136" s="5">
        <v>0.0</v>
      </c>
      <c r="E136" s="5">
        <v>1.0</v>
      </c>
      <c r="F136" s="5">
        <v>0.0</v>
      </c>
    </row>
    <row r="137" ht="15.75" customHeight="1">
      <c r="A137" s="4" t="s">
        <v>177</v>
      </c>
      <c r="B137" s="4" t="s">
        <v>157</v>
      </c>
      <c r="C137" s="4" t="s">
        <v>38</v>
      </c>
      <c r="D137" s="5">
        <v>0.0</v>
      </c>
      <c r="E137" s="5">
        <v>1.0</v>
      </c>
      <c r="F137" s="5">
        <v>0.0</v>
      </c>
    </row>
    <row r="138" ht="15.75" customHeight="1">
      <c r="A138" s="4" t="s">
        <v>178</v>
      </c>
      <c r="B138" s="4" t="s">
        <v>37</v>
      </c>
      <c r="C138" s="4" t="s">
        <v>38</v>
      </c>
      <c r="D138" s="5">
        <v>0.0</v>
      </c>
      <c r="E138" s="5">
        <v>1.0</v>
      </c>
      <c r="F138" s="5">
        <v>0.0</v>
      </c>
    </row>
    <row r="139" ht="15.75" customHeight="1">
      <c r="A139" s="4" t="s">
        <v>179</v>
      </c>
      <c r="B139" s="4" t="s">
        <v>37</v>
      </c>
      <c r="C139" s="4" t="s">
        <v>38</v>
      </c>
      <c r="D139" s="5">
        <v>0.0</v>
      </c>
      <c r="E139" s="5">
        <v>1.0</v>
      </c>
      <c r="F139" s="5">
        <v>0.0</v>
      </c>
    </row>
    <row r="140" ht="15.75" customHeight="1">
      <c r="A140" s="4" t="s">
        <v>180</v>
      </c>
      <c r="B140" s="4" t="s">
        <v>40</v>
      </c>
      <c r="C140" s="4" t="s">
        <v>38</v>
      </c>
      <c r="D140" s="5">
        <v>0.0</v>
      </c>
      <c r="E140" s="5">
        <v>1.0</v>
      </c>
      <c r="F140" s="5">
        <v>0.0</v>
      </c>
    </row>
    <row r="141" ht="15.75" customHeight="1">
      <c r="A141" s="4" t="s">
        <v>181</v>
      </c>
      <c r="B141" s="4" t="s">
        <v>40</v>
      </c>
      <c r="C141" s="4" t="s">
        <v>38</v>
      </c>
      <c r="D141" s="5">
        <v>0.0</v>
      </c>
      <c r="E141" s="5">
        <v>1.0</v>
      </c>
      <c r="F141" s="5">
        <v>0.0</v>
      </c>
    </row>
    <row r="142" ht="15.75" customHeight="1">
      <c r="A142" s="4" t="s">
        <v>182</v>
      </c>
      <c r="B142" s="4" t="s">
        <v>37</v>
      </c>
      <c r="C142" s="4" t="s">
        <v>38</v>
      </c>
      <c r="D142" s="5">
        <v>0.0</v>
      </c>
      <c r="E142" s="5">
        <v>0.5</v>
      </c>
      <c r="F142" s="5">
        <v>0.0</v>
      </c>
    </row>
    <row r="143" ht="15.75" customHeight="1">
      <c r="A143" s="4" t="s">
        <v>183</v>
      </c>
      <c r="B143" s="4" t="s">
        <v>40</v>
      </c>
      <c r="C143" s="4" t="s">
        <v>38</v>
      </c>
      <c r="D143" s="5">
        <v>0.0</v>
      </c>
      <c r="E143" s="5">
        <v>1.0</v>
      </c>
      <c r="F143" s="5">
        <v>0.0</v>
      </c>
    </row>
    <row r="144" ht="15.75" customHeight="1">
      <c r="A144" s="4" t="s">
        <v>184</v>
      </c>
      <c r="B144" s="4" t="s">
        <v>37</v>
      </c>
      <c r="C144" s="4" t="s">
        <v>38</v>
      </c>
      <c r="D144" s="5">
        <v>0.0</v>
      </c>
      <c r="E144" s="5">
        <v>1.0</v>
      </c>
      <c r="F144" s="5">
        <v>0.0</v>
      </c>
    </row>
    <row r="145" ht="15.75" customHeight="1">
      <c r="A145" s="4" t="s">
        <v>185</v>
      </c>
      <c r="B145" s="4" t="s">
        <v>37</v>
      </c>
      <c r="C145" s="4" t="s">
        <v>137</v>
      </c>
      <c r="D145" s="5">
        <v>0.0</v>
      </c>
      <c r="E145" s="5">
        <v>0.27</v>
      </c>
      <c r="F145" s="5">
        <v>0.09</v>
      </c>
    </row>
    <row r="146" ht="15.75" customHeight="1">
      <c r="A146" s="4" t="s">
        <v>186</v>
      </c>
      <c r="B146" s="4" t="s">
        <v>40</v>
      </c>
      <c r="C146" s="4" t="s">
        <v>38</v>
      </c>
      <c r="D146" s="5">
        <v>0.0</v>
      </c>
      <c r="E146" s="5">
        <v>0.5</v>
      </c>
      <c r="F146" s="5">
        <v>0.0</v>
      </c>
    </row>
    <row r="147" ht="15.75" customHeight="1">
      <c r="A147" s="4" t="s">
        <v>187</v>
      </c>
      <c r="B147" s="4" t="s">
        <v>40</v>
      </c>
      <c r="C147" s="4" t="s">
        <v>38</v>
      </c>
      <c r="D147" s="5">
        <v>0.0</v>
      </c>
      <c r="E147" s="5">
        <v>0.5</v>
      </c>
      <c r="F147" s="5">
        <v>0.0</v>
      </c>
    </row>
    <row r="148" ht="15.75" customHeight="1">
      <c r="A148" s="4" t="s">
        <v>188</v>
      </c>
      <c r="B148" s="4" t="s">
        <v>40</v>
      </c>
      <c r="C148" s="4" t="s">
        <v>128</v>
      </c>
      <c r="D148" s="5">
        <v>0.0</v>
      </c>
      <c r="E148" s="5">
        <v>0.0</v>
      </c>
      <c r="F148" s="5">
        <v>0.5</v>
      </c>
    </row>
    <row r="149" ht="15.75" customHeight="1">
      <c r="A149" s="4" t="s">
        <v>189</v>
      </c>
      <c r="B149" s="4" t="s">
        <v>40</v>
      </c>
      <c r="C149" s="4" t="s">
        <v>38</v>
      </c>
      <c r="D149" s="5">
        <v>0.0</v>
      </c>
      <c r="E149" s="5">
        <v>0.5</v>
      </c>
      <c r="F149" s="5">
        <v>0.0</v>
      </c>
    </row>
    <row r="150" ht="15.75" customHeight="1">
      <c r="A150" s="4" t="s">
        <v>190</v>
      </c>
      <c r="B150" s="4" t="s">
        <v>37</v>
      </c>
      <c r="C150" s="4" t="s">
        <v>38</v>
      </c>
      <c r="D150" s="5">
        <v>0.0</v>
      </c>
      <c r="E150" s="5">
        <v>1.0</v>
      </c>
      <c r="F150" s="5">
        <v>0.0</v>
      </c>
    </row>
    <row r="151" ht="15.75" customHeight="1">
      <c r="A151" s="4" t="s">
        <v>191</v>
      </c>
      <c r="B151" s="4" t="s">
        <v>40</v>
      </c>
      <c r="C151" s="4" t="s">
        <v>38</v>
      </c>
      <c r="D151" s="5">
        <v>0.0</v>
      </c>
      <c r="E151" s="5">
        <v>1.0</v>
      </c>
      <c r="F151" s="5">
        <v>0.0</v>
      </c>
    </row>
    <row r="152" ht="15.75" customHeight="1">
      <c r="A152" s="4" t="s">
        <v>192</v>
      </c>
      <c r="B152" s="4" t="s">
        <v>37</v>
      </c>
      <c r="C152" s="4" t="s">
        <v>44</v>
      </c>
      <c r="D152" s="5">
        <v>1.0</v>
      </c>
      <c r="E152" s="5">
        <v>0.0</v>
      </c>
      <c r="F152" s="5">
        <v>0.0</v>
      </c>
    </row>
    <row r="153" ht="15.75" customHeight="1">
      <c r="A153" s="4" t="s">
        <v>193</v>
      </c>
      <c r="B153" s="4" t="s">
        <v>40</v>
      </c>
      <c r="C153" s="4" t="s">
        <v>44</v>
      </c>
      <c r="D153" s="5">
        <v>1.0</v>
      </c>
      <c r="E153" s="5">
        <v>0.0</v>
      </c>
      <c r="F153" s="5">
        <v>0.0</v>
      </c>
    </row>
    <row r="154" ht="15.75" customHeight="1">
      <c r="A154" s="4" t="s">
        <v>194</v>
      </c>
      <c r="B154" s="4" t="s">
        <v>157</v>
      </c>
      <c r="C154" s="4" t="s">
        <v>44</v>
      </c>
      <c r="D154" s="5">
        <v>1.0</v>
      </c>
      <c r="E154" s="5">
        <v>0.0</v>
      </c>
      <c r="F154" s="5">
        <v>0.0</v>
      </c>
    </row>
    <row r="155" ht="15.75" customHeight="1">
      <c r="A155" s="4" t="s">
        <v>195</v>
      </c>
      <c r="B155" s="4" t="s">
        <v>37</v>
      </c>
      <c r="C155" s="4" t="s">
        <v>38</v>
      </c>
      <c r="D155" s="5">
        <v>0.0</v>
      </c>
      <c r="E155" s="5">
        <v>1.0</v>
      </c>
      <c r="F155" s="5">
        <v>0.0</v>
      </c>
    </row>
    <row r="156" ht="15.75" customHeight="1">
      <c r="A156" s="4" t="s">
        <v>196</v>
      </c>
      <c r="B156" s="4" t="s">
        <v>40</v>
      </c>
      <c r="C156" s="4" t="s">
        <v>38</v>
      </c>
      <c r="D156" s="5">
        <v>0.0</v>
      </c>
      <c r="E156" s="5">
        <v>1.0</v>
      </c>
      <c r="F156" s="5">
        <v>0.0</v>
      </c>
    </row>
    <row r="157" ht="15.75" customHeight="1">
      <c r="A157" s="4" t="s">
        <v>197</v>
      </c>
      <c r="B157" s="4" t="s">
        <v>40</v>
      </c>
      <c r="C157" s="4" t="s">
        <v>38</v>
      </c>
      <c r="D157" s="5">
        <v>0.0</v>
      </c>
      <c r="E157" s="5">
        <v>1.0</v>
      </c>
      <c r="F157" s="5">
        <v>0.0</v>
      </c>
    </row>
    <row r="158" ht="15.75" customHeight="1">
      <c r="A158" s="4" t="s">
        <v>198</v>
      </c>
      <c r="B158" s="4" t="s">
        <v>37</v>
      </c>
      <c r="C158" s="4" t="s">
        <v>38</v>
      </c>
      <c r="D158" s="5">
        <v>0.0</v>
      </c>
      <c r="E158" s="5">
        <v>1.0</v>
      </c>
      <c r="F158" s="5">
        <v>0.0</v>
      </c>
    </row>
    <row r="159" ht="15.75" customHeight="1">
      <c r="A159" s="4" t="s">
        <v>199</v>
      </c>
      <c r="B159" s="4" t="s">
        <v>40</v>
      </c>
      <c r="C159" s="4" t="s">
        <v>38</v>
      </c>
      <c r="D159" s="5">
        <v>0.0</v>
      </c>
      <c r="E159" s="5">
        <v>1.0</v>
      </c>
      <c r="F159" s="5">
        <v>0.0</v>
      </c>
    </row>
    <row r="160" ht="15.75" customHeight="1">
      <c r="A160" s="4" t="s">
        <v>200</v>
      </c>
      <c r="B160" s="4" t="s">
        <v>157</v>
      </c>
      <c r="C160" s="4" t="s">
        <v>38</v>
      </c>
      <c r="D160" s="5">
        <v>0.0</v>
      </c>
      <c r="E160" s="5">
        <v>1.0</v>
      </c>
      <c r="F160" s="5">
        <v>0.0</v>
      </c>
    </row>
    <row r="161" ht="15.75" customHeight="1">
      <c r="A161" s="4" t="s">
        <v>201</v>
      </c>
      <c r="B161" s="4" t="s">
        <v>37</v>
      </c>
      <c r="C161" s="4" t="s">
        <v>38</v>
      </c>
      <c r="D161" s="5">
        <v>0.0</v>
      </c>
      <c r="E161" s="5">
        <v>1.0</v>
      </c>
      <c r="F161" s="5">
        <v>0.0</v>
      </c>
    </row>
    <row r="162" ht="15.75" customHeight="1">
      <c r="A162" s="4" t="s">
        <v>202</v>
      </c>
      <c r="B162" s="4" t="s">
        <v>40</v>
      </c>
      <c r="C162" s="4" t="s">
        <v>38</v>
      </c>
      <c r="D162" s="5">
        <v>0.0</v>
      </c>
      <c r="E162" s="5">
        <v>1.0</v>
      </c>
      <c r="F162" s="5">
        <v>0.0</v>
      </c>
    </row>
    <row r="163" ht="15.75" customHeight="1">
      <c r="A163" s="4" t="s">
        <v>203</v>
      </c>
      <c r="B163" s="4" t="s">
        <v>37</v>
      </c>
      <c r="C163" s="4" t="s">
        <v>38</v>
      </c>
      <c r="D163" s="5">
        <v>0.0</v>
      </c>
      <c r="E163" s="5">
        <v>1.0</v>
      </c>
      <c r="F163" s="5">
        <v>0.0</v>
      </c>
    </row>
    <row r="164" ht="15.75" customHeight="1">
      <c r="A164" s="4" t="s">
        <v>204</v>
      </c>
      <c r="B164" s="4" t="s">
        <v>40</v>
      </c>
      <c r="C164" s="4" t="s">
        <v>38</v>
      </c>
      <c r="D164" s="5">
        <v>0.0</v>
      </c>
      <c r="E164" s="5">
        <v>1.0</v>
      </c>
      <c r="F164" s="5">
        <v>0.0</v>
      </c>
    </row>
    <row r="165" ht="15.75" customHeight="1">
      <c r="A165" s="4" t="s">
        <v>205</v>
      </c>
      <c r="B165" s="4" t="s">
        <v>40</v>
      </c>
      <c r="C165" s="4" t="s">
        <v>38</v>
      </c>
      <c r="D165" s="5">
        <v>0.0</v>
      </c>
      <c r="E165" s="5">
        <v>1.0</v>
      </c>
      <c r="F165" s="5">
        <v>0.0</v>
      </c>
    </row>
    <row r="166" ht="15.75" customHeight="1">
      <c r="A166" s="4" t="s">
        <v>206</v>
      </c>
      <c r="B166" s="4" t="s">
        <v>40</v>
      </c>
      <c r="C166" s="4" t="s">
        <v>38</v>
      </c>
      <c r="D166" s="5">
        <v>0.0</v>
      </c>
      <c r="E166" s="5">
        <v>1.0</v>
      </c>
      <c r="F166" s="5">
        <v>0.0</v>
      </c>
    </row>
    <row r="167" ht="15.75" customHeight="1">
      <c r="A167" s="4" t="s">
        <v>207</v>
      </c>
      <c r="B167" s="4" t="s">
        <v>40</v>
      </c>
      <c r="C167" s="4" t="s">
        <v>38</v>
      </c>
      <c r="D167" s="5">
        <v>0.0</v>
      </c>
      <c r="E167" s="5">
        <v>1.0</v>
      </c>
      <c r="F167" s="5">
        <v>0.0</v>
      </c>
    </row>
    <row r="168" ht="15.75" customHeight="1">
      <c r="A168" s="4" t="s">
        <v>208</v>
      </c>
      <c r="B168" s="4" t="s">
        <v>40</v>
      </c>
      <c r="C168" s="4" t="s">
        <v>38</v>
      </c>
      <c r="D168" s="5">
        <v>0.0</v>
      </c>
      <c r="E168" s="5">
        <v>1.0</v>
      </c>
      <c r="F168" s="5">
        <v>0.0</v>
      </c>
    </row>
    <row r="169" ht="15.75" customHeight="1">
      <c r="A169" s="4" t="s">
        <v>209</v>
      </c>
      <c r="B169" s="4" t="s">
        <v>40</v>
      </c>
      <c r="C169" s="4" t="s">
        <v>38</v>
      </c>
      <c r="D169" s="5">
        <v>0.0</v>
      </c>
      <c r="E169" s="5">
        <v>1.0</v>
      </c>
      <c r="F169" s="5">
        <v>0.0</v>
      </c>
    </row>
    <row r="170" ht="15.75" customHeight="1">
      <c r="A170" s="4" t="s">
        <v>210</v>
      </c>
      <c r="B170" s="4" t="s">
        <v>40</v>
      </c>
      <c r="C170" s="4" t="s">
        <v>38</v>
      </c>
      <c r="D170" s="5">
        <v>0.0</v>
      </c>
      <c r="E170" s="5">
        <v>1.0</v>
      </c>
      <c r="F170" s="5">
        <v>0.0</v>
      </c>
    </row>
    <row r="171" ht="15.75" customHeight="1">
      <c r="A171" s="4" t="s">
        <v>211</v>
      </c>
      <c r="B171" s="4" t="s">
        <v>40</v>
      </c>
      <c r="C171" s="4" t="s">
        <v>38</v>
      </c>
      <c r="D171" s="5">
        <v>0.0</v>
      </c>
      <c r="E171" s="5">
        <v>1.0</v>
      </c>
      <c r="F171" s="5">
        <v>0.0</v>
      </c>
    </row>
    <row r="172" ht="15.75" customHeight="1">
      <c r="A172" s="4" t="s">
        <v>212</v>
      </c>
      <c r="B172" s="4" t="s">
        <v>40</v>
      </c>
      <c r="C172" s="4" t="s">
        <v>38</v>
      </c>
      <c r="D172" s="5">
        <v>0.0</v>
      </c>
      <c r="E172" s="5">
        <v>1.0</v>
      </c>
      <c r="F172" s="5">
        <v>0.0</v>
      </c>
    </row>
    <row r="173" ht="15.75" customHeight="1">
      <c r="A173" s="4" t="s">
        <v>213</v>
      </c>
      <c r="B173" s="4" t="s">
        <v>40</v>
      </c>
      <c r="C173" s="4" t="s">
        <v>38</v>
      </c>
      <c r="D173" s="5">
        <v>0.0</v>
      </c>
      <c r="E173" s="5">
        <v>1.0</v>
      </c>
      <c r="F173" s="5">
        <v>0.0</v>
      </c>
    </row>
    <row r="174" ht="15.75" customHeight="1">
      <c r="A174" s="4" t="s">
        <v>214</v>
      </c>
      <c r="B174" s="4" t="s">
        <v>40</v>
      </c>
      <c r="C174" s="4" t="s">
        <v>38</v>
      </c>
      <c r="D174" s="5">
        <v>0.0</v>
      </c>
      <c r="E174" s="5">
        <v>1.0</v>
      </c>
      <c r="F174" s="5">
        <v>0.0</v>
      </c>
    </row>
    <row r="175" ht="15.75" customHeight="1">
      <c r="A175" s="4" t="s">
        <v>215</v>
      </c>
      <c r="B175" s="4" t="s">
        <v>40</v>
      </c>
      <c r="C175" s="4" t="s">
        <v>38</v>
      </c>
      <c r="D175" s="5">
        <v>0.0</v>
      </c>
      <c r="E175" s="5">
        <v>1.0</v>
      </c>
      <c r="F175" s="5">
        <v>0.0</v>
      </c>
    </row>
    <row r="176" ht="15.75" customHeight="1">
      <c r="A176" s="4" t="s">
        <v>216</v>
      </c>
      <c r="B176" s="4" t="s">
        <v>37</v>
      </c>
      <c r="C176" s="4" t="s">
        <v>38</v>
      </c>
      <c r="D176" s="5">
        <v>0.0</v>
      </c>
      <c r="E176" s="5">
        <v>0.75</v>
      </c>
      <c r="F176" s="5">
        <v>0.0</v>
      </c>
    </row>
    <row r="177" ht="15.75" customHeight="1">
      <c r="A177" s="4" t="s">
        <v>217</v>
      </c>
      <c r="B177" s="4" t="s">
        <v>40</v>
      </c>
      <c r="C177" s="4" t="s">
        <v>38</v>
      </c>
      <c r="D177" s="5">
        <v>0.0</v>
      </c>
      <c r="E177" s="5">
        <v>1.0</v>
      </c>
      <c r="F177" s="5">
        <v>0.0</v>
      </c>
    </row>
    <row r="178" ht="15.75" customHeight="1">
      <c r="A178" s="4" t="s">
        <v>218</v>
      </c>
      <c r="B178" s="4" t="s">
        <v>40</v>
      </c>
      <c r="C178" s="4" t="s">
        <v>38</v>
      </c>
      <c r="D178" s="5">
        <v>0.0</v>
      </c>
      <c r="E178" s="5">
        <v>1.0</v>
      </c>
      <c r="F178" s="5">
        <v>0.0</v>
      </c>
    </row>
    <row r="179" ht="15.75" customHeight="1">
      <c r="A179" s="4" t="s">
        <v>219</v>
      </c>
      <c r="B179" s="4" t="s">
        <v>40</v>
      </c>
      <c r="C179" s="4" t="s">
        <v>38</v>
      </c>
      <c r="D179" s="5">
        <v>0.0</v>
      </c>
      <c r="E179" s="5">
        <v>1.0</v>
      </c>
      <c r="F179" s="5">
        <v>0.0</v>
      </c>
    </row>
    <row r="180" ht="15.75" customHeight="1">
      <c r="A180" s="4" t="s">
        <v>220</v>
      </c>
      <c r="B180" s="4" t="s">
        <v>37</v>
      </c>
      <c r="C180" s="4" t="s">
        <v>38</v>
      </c>
      <c r="D180" s="5">
        <v>0.0</v>
      </c>
      <c r="E180" s="5">
        <v>0.14</v>
      </c>
      <c r="F180" s="5">
        <v>0.0</v>
      </c>
    </row>
    <row r="181" ht="15.75" customHeight="1">
      <c r="A181" s="4" t="s">
        <v>221</v>
      </c>
      <c r="B181" s="4" t="s">
        <v>40</v>
      </c>
      <c r="C181" s="4" t="s">
        <v>38</v>
      </c>
      <c r="D181" s="5">
        <v>0.0</v>
      </c>
      <c r="E181" s="5">
        <v>0.5</v>
      </c>
      <c r="F181" s="5">
        <v>0.0</v>
      </c>
    </row>
    <row r="182" ht="15.75" customHeight="1">
      <c r="A182" s="4" t="s">
        <v>222</v>
      </c>
      <c r="B182" s="4" t="s">
        <v>37</v>
      </c>
      <c r="C182" s="4" t="s">
        <v>38</v>
      </c>
      <c r="D182" s="5">
        <v>0.0</v>
      </c>
      <c r="E182" s="5">
        <v>1.0</v>
      </c>
      <c r="F182" s="5">
        <v>0.0</v>
      </c>
    </row>
    <row r="183" ht="15.75" customHeight="1">
      <c r="A183" s="4" t="s">
        <v>223</v>
      </c>
      <c r="B183" s="4" t="s">
        <v>40</v>
      </c>
      <c r="C183" s="4" t="s">
        <v>38</v>
      </c>
      <c r="D183" s="5">
        <v>0.0</v>
      </c>
      <c r="E183" s="5">
        <v>1.0</v>
      </c>
      <c r="F183" s="5">
        <v>0.0</v>
      </c>
    </row>
    <row r="184" ht="15.75" customHeight="1">
      <c r="A184" s="4" t="s">
        <v>224</v>
      </c>
      <c r="B184" s="4" t="s">
        <v>157</v>
      </c>
      <c r="C184" s="4" t="s">
        <v>38</v>
      </c>
      <c r="D184" s="5">
        <v>0.0</v>
      </c>
      <c r="E184" s="5">
        <v>1.0</v>
      </c>
      <c r="F184" s="5">
        <v>0.0</v>
      </c>
    </row>
    <row r="185" ht="15.75" customHeight="1">
      <c r="A185" s="4" t="s">
        <v>225</v>
      </c>
      <c r="B185" s="4" t="s">
        <v>37</v>
      </c>
      <c r="C185" s="4" t="s">
        <v>38</v>
      </c>
      <c r="D185" s="5">
        <v>0.0</v>
      </c>
      <c r="E185" s="5">
        <v>1.0</v>
      </c>
      <c r="F185" s="5">
        <v>0.0</v>
      </c>
    </row>
    <row r="186" ht="15.75" customHeight="1">
      <c r="A186" s="4" t="s">
        <v>226</v>
      </c>
      <c r="B186" s="4" t="s">
        <v>40</v>
      </c>
      <c r="C186" s="4" t="s">
        <v>38</v>
      </c>
      <c r="D186" s="5">
        <v>0.0</v>
      </c>
      <c r="E186" s="5">
        <v>1.0</v>
      </c>
      <c r="F186" s="5">
        <v>0.0</v>
      </c>
    </row>
    <row r="187" ht="15.75" customHeight="1">
      <c r="A187" s="4" t="s">
        <v>227</v>
      </c>
      <c r="B187" s="4" t="s">
        <v>37</v>
      </c>
      <c r="C187" s="4" t="s">
        <v>38</v>
      </c>
      <c r="D187" s="5">
        <v>0.0</v>
      </c>
      <c r="E187" s="5">
        <v>1.0</v>
      </c>
      <c r="F187" s="5">
        <v>0.0</v>
      </c>
    </row>
    <row r="188" ht="15.75" customHeight="1">
      <c r="A188" s="4" t="s">
        <v>228</v>
      </c>
      <c r="B188" s="4" t="s">
        <v>40</v>
      </c>
      <c r="C188" s="4" t="s">
        <v>38</v>
      </c>
      <c r="D188" s="5">
        <v>0.0</v>
      </c>
      <c r="E188" s="5">
        <v>1.0</v>
      </c>
      <c r="F188" s="5">
        <v>0.0</v>
      </c>
    </row>
    <row r="189" ht="15.75" customHeight="1">
      <c r="A189" s="4" t="s">
        <v>229</v>
      </c>
      <c r="B189" s="4" t="s">
        <v>157</v>
      </c>
      <c r="C189" s="4" t="s">
        <v>38</v>
      </c>
      <c r="D189" s="5">
        <v>0.0</v>
      </c>
      <c r="E189" s="5">
        <v>1.0</v>
      </c>
      <c r="F189" s="5">
        <v>0.0</v>
      </c>
    </row>
    <row r="190" ht="15.75" customHeight="1">
      <c r="A190" s="4" t="s">
        <v>230</v>
      </c>
      <c r="B190" s="4" t="s">
        <v>37</v>
      </c>
      <c r="C190" s="4" t="s">
        <v>38</v>
      </c>
      <c r="D190" s="5">
        <v>0.0</v>
      </c>
      <c r="E190" s="5">
        <v>1.0</v>
      </c>
      <c r="F190" s="5">
        <v>0.0</v>
      </c>
    </row>
    <row r="191" ht="15.75" customHeight="1">
      <c r="A191" s="4" t="s">
        <v>231</v>
      </c>
      <c r="B191" s="4" t="s">
        <v>40</v>
      </c>
      <c r="C191" s="4" t="s">
        <v>38</v>
      </c>
      <c r="D191" s="5">
        <v>0.0</v>
      </c>
      <c r="E191" s="5">
        <v>1.0</v>
      </c>
      <c r="F191" s="5">
        <v>0.0</v>
      </c>
    </row>
    <row r="192" ht="15.75" customHeight="1">
      <c r="A192" s="4" t="s">
        <v>232</v>
      </c>
      <c r="B192" s="4" t="s">
        <v>40</v>
      </c>
      <c r="C192" s="4" t="s">
        <v>38</v>
      </c>
      <c r="D192" s="5">
        <v>0.0</v>
      </c>
      <c r="E192" s="5">
        <v>1.0</v>
      </c>
      <c r="F192" s="5">
        <v>0.0</v>
      </c>
    </row>
    <row r="193" ht="15.75" customHeight="1">
      <c r="A193" s="4" t="s">
        <v>233</v>
      </c>
      <c r="B193" s="4" t="s">
        <v>40</v>
      </c>
      <c r="C193" s="4" t="s">
        <v>38</v>
      </c>
      <c r="D193" s="5">
        <v>0.0</v>
      </c>
      <c r="E193" s="5">
        <v>1.0</v>
      </c>
      <c r="F193" s="5">
        <v>0.0</v>
      </c>
    </row>
    <row r="194" ht="15.75" customHeight="1">
      <c r="A194" s="4" t="s">
        <v>234</v>
      </c>
      <c r="B194" s="4" t="s">
        <v>40</v>
      </c>
      <c r="C194" s="4" t="s">
        <v>38</v>
      </c>
      <c r="D194" s="5">
        <v>0.0</v>
      </c>
      <c r="E194" s="5">
        <v>1.0</v>
      </c>
      <c r="F194" s="5">
        <v>0.0</v>
      </c>
    </row>
    <row r="195" ht="15.75" customHeight="1">
      <c r="A195" s="4" t="s">
        <v>235</v>
      </c>
      <c r="B195" s="4" t="s">
        <v>40</v>
      </c>
      <c r="C195" s="4" t="s">
        <v>38</v>
      </c>
      <c r="D195" s="5">
        <v>0.0</v>
      </c>
      <c r="E195" s="5">
        <v>1.0</v>
      </c>
      <c r="F195" s="5">
        <v>0.0</v>
      </c>
    </row>
    <row r="196" ht="15.75" customHeight="1">
      <c r="A196" s="4" t="s">
        <v>236</v>
      </c>
      <c r="B196" s="4" t="s">
        <v>40</v>
      </c>
      <c r="C196" s="4" t="s">
        <v>38</v>
      </c>
      <c r="D196" s="5">
        <v>0.0</v>
      </c>
      <c r="E196" s="5">
        <v>1.0</v>
      </c>
      <c r="F196" s="5">
        <v>0.0</v>
      </c>
    </row>
    <row r="197" ht="15.75" customHeight="1">
      <c r="A197" s="4" t="s">
        <v>237</v>
      </c>
      <c r="B197" s="4" t="s">
        <v>40</v>
      </c>
      <c r="C197" s="4" t="s">
        <v>38</v>
      </c>
      <c r="D197" s="5">
        <v>0.0</v>
      </c>
      <c r="E197" s="5">
        <v>1.0</v>
      </c>
      <c r="F197" s="5">
        <v>0.0</v>
      </c>
    </row>
    <row r="198" ht="15.75" customHeight="1">
      <c r="A198" s="4" t="s">
        <v>238</v>
      </c>
      <c r="B198" s="4" t="s">
        <v>40</v>
      </c>
      <c r="C198" s="4" t="s">
        <v>38</v>
      </c>
      <c r="D198" s="5">
        <v>0.0</v>
      </c>
      <c r="E198" s="5">
        <v>1.0</v>
      </c>
      <c r="F198" s="5">
        <v>0.0</v>
      </c>
    </row>
    <row r="199" ht="15.75" customHeight="1">
      <c r="A199" s="4" t="s">
        <v>239</v>
      </c>
      <c r="B199" s="4" t="s">
        <v>40</v>
      </c>
      <c r="C199" s="4" t="s">
        <v>38</v>
      </c>
      <c r="D199" s="5">
        <v>0.0</v>
      </c>
      <c r="E199" s="5">
        <v>1.0</v>
      </c>
      <c r="F199" s="5">
        <v>0.0</v>
      </c>
    </row>
    <row r="200" ht="15.75" customHeight="1">
      <c r="A200" s="4" t="s">
        <v>240</v>
      </c>
      <c r="B200" s="4" t="s">
        <v>40</v>
      </c>
      <c r="C200" s="4" t="s">
        <v>38</v>
      </c>
      <c r="D200" s="5">
        <v>0.0</v>
      </c>
      <c r="E200" s="5">
        <v>1.0</v>
      </c>
      <c r="F200" s="5">
        <v>0.0</v>
      </c>
    </row>
    <row r="201" ht="15.75" customHeight="1">
      <c r="A201" s="4" t="s">
        <v>241</v>
      </c>
      <c r="B201" s="4" t="s">
        <v>40</v>
      </c>
      <c r="C201" s="4" t="s">
        <v>38</v>
      </c>
      <c r="D201" s="5">
        <v>0.0</v>
      </c>
      <c r="E201" s="5">
        <v>1.0</v>
      </c>
      <c r="F201" s="5">
        <v>0.0</v>
      </c>
    </row>
    <row r="202" ht="15.75" customHeight="1">
      <c r="A202" s="4" t="s">
        <v>242</v>
      </c>
      <c r="B202" s="4" t="s">
        <v>40</v>
      </c>
      <c r="C202" s="4" t="s">
        <v>38</v>
      </c>
      <c r="D202" s="5">
        <v>0.0</v>
      </c>
      <c r="E202" s="5">
        <v>1.0</v>
      </c>
      <c r="F202" s="5">
        <v>0.0</v>
      </c>
    </row>
    <row r="203" ht="15.75" customHeight="1">
      <c r="A203" s="4" t="s">
        <v>243</v>
      </c>
      <c r="B203" s="4" t="s">
        <v>37</v>
      </c>
      <c r="C203" s="4" t="s">
        <v>38</v>
      </c>
      <c r="D203" s="5">
        <v>0.0</v>
      </c>
      <c r="E203" s="5">
        <v>1.0</v>
      </c>
      <c r="F203" s="5">
        <v>0.0</v>
      </c>
    </row>
    <row r="204" ht="15.75" customHeight="1">
      <c r="A204" s="4" t="s">
        <v>244</v>
      </c>
      <c r="B204" s="4" t="s">
        <v>40</v>
      </c>
      <c r="C204" s="4" t="s">
        <v>38</v>
      </c>
      <c r="D204" s="5">
        <v>0.0</v>
      </c>
      <c r="E204" s="5">
        <v>1.0</v>
      </c>
      <c r="F204" s="5">
        <v>0.0</v>
      </c>
    </row>
    <row r="205" ht="15.75" customHeight="1">
      <c r="A205" s="4" t="s">
        <v>245</v>
      </c>
      <c r="B205" s="4" t="s">
        <v>40</v>
      </c>
      <c r="C205" s="4" t="s">
        <v>38</v>
      </c>
      <c r="D205" s="5">
        <v>0.0</v>
      </c>
      <c r="E205" s="5">
        <v>1.0</v>
      </c>
      <c r="F205" s="5">
        <v>0.0</v>
      </c>
    </row>
    <row r="206" ht="15.75" customHeight="1">
      <c r="A206" s="4" t="s">
        <v>246</v>
      </c>
      <c r="B206" s="4" t="s">
        <v>37</v>
      </c>
      <c r="C206" s="4" t="s">
        <v>38</v>
      </c>
      <c r="D206" s="5">
        <v>0.0</v>
      </c>
      <c r="E206" s="5">
        <v>1.0</v>
      </c>
      <c r="F206" s="5">
        <v>0.0</v>
      </c>
    </row>
    <row r="207" ht="15.75" customHeight="1">
      <c r="A207" s="4" t="s">
        <v>247</v>
      </c>
      <c r="B207" s="4" t="s">
        <v>40</v>
      </c>
      <c r="C207" s="4" t="s">
        <v>38</v>
      </c>
      <c r="D207" s="5">
        <v>0.0</v>
      </c>
      <c r="E207" s="5">
        <v>1.0</v>
      </c>
      <c r="F207" s="5">
        <v>0.0</v>
      </c>
    </row>
    <row r="208" ht="15.75" customHeight="1">
      <c r="A208" s="4" t="s">
        <v>248</v>
      </c>
      <c r="B208" s="4" t="s">
        <v>157</v>
      </c>
      <c r="C208" s="4" t="s">
        <v>38</v>
      </c>
      <c r="D208" s="5">
        <v>0.0</v>
      </c>
      <c r="E208" s="5">
        <v>1.0</v>
      </c>
      <c r="F208" s="5">
        <v>0.0</v>
      </c>
    </row>
    <row r="209" ht="15.75" customHeight="1">
      <c r="A209" s="4" t="s">
        <v>249</v>
      </c>
      <c r="B209" s="4" t="s">
        <v>37</v>
      </c>
      <c r="C209" s="4" t="s">
        <v>38</v>
      </c>
      <c r="D209" s="5">
        <v>0.0</v>
      </c>
      <c r="E209" s="5">
        <v>1.0</v>
      </c>
      <c r="F209" s="5">
        <v>0.0</v>
      </c>
    </row>
    <row r="210" ht="15.75" customHeight="1">
      <c r="A210" s="4" t="s">
        <v>250</v>
      </c>
      <c r="B210" s="4" t="s">
        <v>40</v>
      </c>
      <c r="C210" s="4" t="s">
        <v>38</v>
      </c>
      <c r="D210" s="5">
        <v>0.0</v>
      </c>
      <c r="E210" s="5">
        <v>1.0</v>
      </c>
      <c r="F210" s="5">
        <v>0.0</v>
      </c>
    </row>
    <row r="211" ht="15.75" customHeight="1">
      <c r="A211" s="4" t="s">
        <v>251</v>
      </c>
      <c r="B211" s="4" t="s">
        <v>40</v>
      </c>
      <c r="C211" s="4" t="s">
        <v>38</v>
      </c>
      <c r="D211" s="5">
        <v>0.0</v>
      </c>
      <c r="E211" s="5">
        <v>1.0</v>
      </c>
      <c r="F211" s="5">
        <v>0.0</v>
      </c>
    </row>
    <row r="212" ht="15.75" customHeight="1">
      <c r="A212" s="4" t="s">
        <v>252</v>
      </c>
      <c r="B212" s="4" t="s">
        <v>40</v>
      </c>
      <c r="C212" s="4" t="s">
        <v>38</v>
      </c>
      <c r="D212" s="5">
        <v>0.0</v>
      </c>
      <c r="E212" s="5">
        <v>1.0</v>
      </c>
      <c r="F212" s="5">
        <v>0.0</v>
      </c>
    </row>
    <row r="213" ht="15.75" customHeight="1">
      <c r="A213" s="4" t="s">
        <v>253</v>
      </c>
      <c r="B213" s="4" t="s">
        <v>37</v>
      </c>
      <c r="C213" s="4" t="s">
        <v>38</v>
      </c>
      <c r="D213" s="5">
        <v>0.0</v>
      </c>
      <c r="E213" s="5">
        <v>1.0</v>
      </c>
      <c r="F213" s="5">
        <v>0.0</v>
      </c>
    </row>
    <row r="214" ht="15.75" customHeight="1">
      <c r="A214" s="4" t="s">
        <v>254</v>
      </c>
      <c r="B214" s="4" t="s">
        <v>40</v>
      </c>
      <c r="C214" s="4" t="s">
        <v>38</v>
      </c>
      <c r="D214" s="5">
        <v>0.0</v>
      </c>
      <c r="E214" s="5">
        <v>1.0</v>
      </c>
      <c r="F214" s="5">
        <v>0.0</v>
      </c>
    </row>
    <row r="215" ht="15.75" customHeight="1">
      <c r="A215" s="4" t="s">
        <v>255</v>
      </c>
      <c r="B215" s="4" t="s">
        <v>37</v>
      </c>
      <c r="C215" s="4" t="s">
        <v>38</v>
      </c>
      <c r="D215" s="5">
        <v>0.0</v>
      </c>
      <c r="E215" s="5">
        <v>1.0</v>
      </c>
      <c r="F215" s="5">
        <v>0.0</v>
      </c>
    </row>
    <row r="216" ht="15.75" customHeight="1">
      <c r="A216" s="4" t="s">
        <v>256</v>
      </c>
      <c r="B216" s="4" t="s">
        <v>40</v>
      </c>
      <c r="C216" s="4" t="s">
        <v>38</v>
      </c>
      <c r="D216" s="5">
        <v>0.0</v>
      </c>
      <c r="E216" s="5">
        <v>1.0</v>
      </c>
      <c r="F216" s="5">
        <v>0.0</v>
      </c>
    </row>
    <row r="217" ht="15.75" customHeight="1">
      <c r="A217" s="4" t="s">
        <v>257</v>
      </c>
      <c r="B217" s="4" t="s">
        <v>40</v>
      </c>
      <c r="C217" s="4" t="s">
        <v>38</v>
      </c>
      <c r="D217" s="5">
        <v>0.0</v>
      </c>
      <c r="E217" s="5">
        <v>1.0</v>
      </c>
      <c r="F217" s="5">
        <v>0.0</v>
      </c>
    </row>
    <row r="218" ht="15.75" customHeight="1">
      <c r="A218" s="4" t="s">
        <v>258</v>
      </c>
      <c r="B218" s="4" t="s">
        <v>40</v>
      </c>
      <c r="C218" s="4" t="s">
        <v>38</v>
      </c>
      <c r="D218" s="5">
        <v>0.0</v>
      </c>
      <c r="E218" s="5">
        <v>1.0</v>
      </c>
      <c r="F218" s="5">
        <v>0.0</v>
      </c>
    </row>
    <row r="219" ht="15.75" customHeight="1">
      <c r="A219" s="4" t="s">
        <v>259</v>
      </c>
      <c r="B219" s="4" t="s">
        <v>40</v>
      </c>
      <c r="C219" s="4" t="s">
        <v>38</v>
      </c>
      <c r="D219" s="5">
        <v>0.0</v>
      </c>
      <c r="E219" s="5">
        <v>1.0</v>
      </c>
      <c r="F219" s="5">
        <v>0.0</v>
      </c>
    </row>
    <row r="220" ht="15.75" customHeight="1">
      <c r="A220" s="4" t="s">
        <v>260</v>
      </c>
      <c r="B220" s="4" t="s">
        <v>40</v>
      </c>
      <c r="C220" s="4" t="s">
        <v>38</v>
      </c>
      <c r="D220" s="5">
        <v>0.0</v>
      </c>
      <c r="E220" s="5">
        <v>1.0</v>
      </c>
      <c r="F220" s="5">
        <v>0.0</v>
      </c>
    </row>
    <row r="221" ht="15.75" customHeight="1">
      <c r="A221" s="4" t="s">
        <v>261</v>
      </c>
      <c r="B221" s="4" t="s">
        <v>40</v>
      </c>
      <c r="C221" s="4" t="s">
        <v>38</v>
      </c>
      <c r="D221" s="5">
        <v>0.0</v>
      </c>
      <c r="E221" s="5">
        <v>1.0</v>
      </c>
      <c r="F221" s="5">
        <v>0.0</v>
      </c>
    </row>
    <row r="222" ht="15.75" customHeight="1">
      <c r="A222" s="4" t="s">
        <v>262</v>
      </c>
      <c r="B222" s="4" t="s">
        <v>37</v>
      </c>
      <c r="C222" s="4" t="s">
        <v>38</v>
      </c>
      <c r="D222" s="5">
        <v>0.0</v>
      </c>
      <c r="E222" s="5">
        <v>1.0</v>
      </c>
      <c r="F222" s="5">
        <v>0.0</v>
      </c>
    </row>
    <row r="223" ht="15.75" customHeight="1">
      <c r="A223" s="4" t="s">
        <v>263</v>
      </c>
      <c r="B223" s="4" t="s">
        <v>40</v>
      </c>
      <c r="C223" s="4" t="s">
        <v>38</v>
      </c>
      <c r="D223" s="5">
        <v>0.0</v>
      </c>
      <c r="E223" s="5">
        <v>1.0</v>
      </c>
      <c r="F223" s="5">
        <v>0.0</v>
      </c>
    </row>
    <row r="224" ht="15.75" customHeight="1">
      <c r="A224" s="4" t="s">
        <v>264</v>
      </c>
      <c r="B224" s="4" t="s">
        <v>40</v>
      </c>
      <c r="C224" s="4" t="s">
        <v>38</v>
      </c>
      <c r="D224" s="5">
        <v>0.0</v>
      </c>
      <c r="E224" s="5">
        <v>1.0</v>
      </c>
      <c r="F224" s="5">
        <v>0.0</v>
      </c>
    </row>
    <row r="225" ht="15.75" customHeight="1">
      <c r="A225" s="4" t="s">
        <v>265</v>
      </c>
      <c r="B225" s="4" t="s">
        <v>40</v>
      </c>
      <c r="C225" s="4" t="s">
        <v>38</v>
      </c>
      <c r="D225" s="5">
        <v>0.0</v>
      </c>
      <c r="E225" s="5">
        <v>1.0</v>
      </c>
      <c r="F225" s="5">
        <v>0.0</v>
      </c>
    </row>
    <row r="226" ht="15.75" customHeight="1">
      <c r="A226" s="4" t="s">
        <v>266</v>
      </c>
      <c r="B226" s="4" t="s">
        <v>40</v>
      </c>
      <c r="C226" s="4" t="s">
        <v>38</v>
      </c>
      <c r="D226" s="5">
        <v>0.0</v>
      </c>
      <c r="E226" s="5">
        <v>1.0</v>
      </c>
      <c r="F226" s="5">
        <v>0.0</v>
      </c>
    </row>
    <row r="227" ht="15.75" customHeight="1">
      <c r="A227" s="4" t="s">
        <v>267</v>
      </c>
      <c r="B227" s="4" t="s">
        <v>40</v>
      </c>
      <c r="C227" s="4" t="s">
        <v>38</v>
      </c>
      <c r="D227" s="5">
        <v>0.0</v>
      </c>
      <c r="E227" s="5">
        <v>1.0</v>
      </c>
      <c r="F227" s="5">
        <v>0.0</v>
      </c>
    </row>
    <row r="228" ht="15.75" customHeight="1">
      <c r="A228" s="4" t="s">
        <v>268</v>
      </c>
      <c r="B228" s="4" t="s">
        <v>40</v>
      </c>
      <c r="C228" s="4" t="s">
        <v>38</v>
      </c>
      <c r="D228" s="5">
        <v>0.0</v>
      </c>
      <c r="E228" s="5">
        <v>1.0</v>
      </c>
      <c r="F228" s="5">
        <v>0.0</v>
      </c>
    </row>
    <row r="229" ht="15.75" customHeight="1">
      <c r="A229" s="4" t="s">
        <v>269</v>
      </c>
      <c r="B229" s="4" t="s">
        <v>40</v>
      </c>
      <c r="C229" s="4" t="s">
        <v>38</v>
      </c>
      <c r="D229" s="5">
        <v>0.0</v>
      </c>
      <c r="E229" s="5">
        <v>1.0</v>
      </c>
      <c r="F229" s="5">
        <v>0.0</v>
      </c>
    </row>
    <row r="230" ht="15.75" customHeight="1">
      <c r="A230" s="4" t="s">
        <v>270</v>
      </c>
      <c r="B230" s="4" t="s">
        <v>37</v>
      </c>
      <c r="C230" s="4" t="s">
        <v>38</v>
      </c>
      <c r="D230" s="5">
        <v>0.0</v>
      </c>
      <c r="E230" s="5">
        <v>1.0</v>
      </c>
      <c r="F230" s="5">
        <v>0.0</v>
      </c>
    </row>
    <row r="231" ht="15.75" customHeight="1">
      <c r="A231" s="4" t="s">
        <v>271</v>
      </c>
      <c r="B231" s="4" t="s">
        <v>40</v>
      </c>
      <c r="C231" s="4" t="s">
        <v>38</v>
      </c>
      <c r="D231" s="5">
        <v>0.0</v>
      </c>
      <c r="E231" s="5">
        <v>1.0</v>
      </c>
      <c r="F231" s="5">
        <v>0.0</v>
      </c>
    </row>
    <row r="232" ht="15.75" customHeight="1">
      <c r="A232" s="4" t="s">
        <v>272</v>
      </c>
      <c r="B232" s="4" t="s">
        <v>37</v>
      </c>
      <c r="C232" s="4" t="s">
        <v>38</v>
      </c>
      <c r="D232" s="5">
        <v>0.0</v>
      </c>
      <c r="E232" s="5">
        <v>1.0</v>
      </c>
      <c r="F232" s="5">
        <v>0.0</v>
      </c>
    </row>
    <row r="233" ht="15.75" customHeight="1">
      <c r="A233" s="4" t="s">
        <v>273</v>
      </c>
      <c r="B233" s="4" t="s">
        <v>40</v>
      </c>
      <c r="C233" s="4" t="s">
        <v>38</v>
      </c>
      <c r="D233" s="5">
        <v>0.0</v>
      </c>
      <c r="E233" s="5">
        <v>1.0</v>
      </c>
      <c r="F233" s="5">
        <v>0.0</v>
      </c>
    </row>
    <row r="234" ht="15.75" customHeight="1">
      <c r="A234" s="4" t="s">
        <v>274</v>
      </c>
      <c r="B234" s="4" t="s">
        <v>37</v>
      </c>
      <c r="C234" s="4" t="s">
        <v>38</v>
      </c>
      <c r="D234" s="5">
        <v>0.0</v>
      </c>
      <c r="E234" s="5">
        <v>1.0</v>
      </c>
      <c r="F234" s="5">
        <v>0.0</v>
      </c>
    </row>
    <row r="235" ht="15.75" customHeight="1">
      <c r="A235" s="4" t="s">
        <v>275</v>
      </c>
      <c r="B235" s="4" t="s">
        <v>40</v>
      </c>
      <c r="C235" s="4" t="s">
        <v>38</v>
      </c>
      <c r="D235" s="5">
        <v>0.0</v>
      </c>
      <c r="E235" s="5">
        <v>1.0</v>
      </c>
      <c r="F235" s="5">
        <v>0.0</v>
      </c>
    </row>
    <row r="236" ht="15.75" customHeight="1">
      <c r="A236" s="4" t="s">
        <v>276</v>
      </c>
      <c r="B236" s="4" t="s">
        <v>37</v>
      </c>
      <c r="C236" s="4" t="s">
        <v>38</v>
      </c>
      <c r="D236" s="5">
        <v>0.0</v>
      </c>
      <c r="E236" s="5">
        <v>1.0</v>
      </c>
      <c r="F236" s="5">
        <v>0.0</v>
      </c>
    </row>
    <row r="237" ht="15.75" customHeight="1">
      <c r="A237" s="4" t="s">
        <v>277</v>
      </c>
      <c r="B237" s="4" t="s">
        <v>37</v>
      </c>
      <c r="C237" s="4" t="s">
        <v>38</v>
      </c>
      <c r="D237" s="5">
        <v>0.0</v>
      </c>
      <c r="E237" s="5">
        <v>1.0</v>
      </c>
      <c r="F237" s="5">
        <v>0.0</v>
      </c>
    </row>
    <row r="238" ht="15.75" customHeight="1">
      <c r="A238" s="4" t="s">
        <v>278</v>
      </c>
      <c r="B238" s="4" t="s">
        <v>40</v>
      </c>
      <c r="C238" s="4" t="s">
        <v>38</v>
      </c>
      <c r="D238" s="5">
        <v>0.0</v>
      </c>
      <c r="E238" s="5">
        <v>1.0</v>
      </c>
      <c r="F238" s="5">
        <v>0.0</v>
      </c>
    </row>
    <row r="239" ht="15.75" customHeight="1">
      <c r="A239" s="4" t="s">
        <v>279</v>
      </c>
      <c r="B239" s="4" t="s">
        <v>37</v>
      </c>
      <c r="C239" s="4" t="s">
        <v>280</v>
      </c>
      <c r="D239" s="5">
        <v>0.33</v>
      </c>
      <c r="E239" s="5">
        <v>0.33</v>
      </c>
      <c r="F239" s="5">
        <v>0.0</v>
      </c>
    </row>
    <row r="240" ht="15.75" customHeight="1">
      <c r="A240" s="4" t="s">
        <v>281</v>
      </c>
      <c r="B240" s="4" t="s">
        <v>40</v>
      </c>
      <c r="C240" s="4" t="s">
        <v>38</v>
      </c>
      <c r="D240" s="5">
        <v>0.0</v>
      </c>
      <c r="E240" s="5">
        <v>0.5</v>
      </c>
      <c r="F240" s="5">
        <v>0.0</v>
      </c>
    </row>
    <row r="241" ht="15.75" customHeight="1">
      <c r="A241" s="4" t="s">
        <v>282</v>
      </c>
      <c r="B241" s="4" t="s">
        <v>40</v>
      </c>
      <c r="C241" s="4" t="s">
        <v>38</v>
      </c>
      <c r="D241" s="5">
        <v>0.0</v>
      </c>
      <c r="E241" s="5">
        <v>0.5</v>
      </c>
      <c r="F241" s="5">
        <v>0.0</v>
      </c>
    </row>
    <row r="242" ht="15.75" customHeight="1">
      <c r="A242" s="4" t="s">
        <v>283</v>
      </c>
      <c r="B242" s="4" t="s">
        <v>40</v>
      </c>
      <c r="C242" s="4" t="s">
        <v>44</v>
      </c>
      <c r="D242" s="5">
        <v>1.0</v>
      </c>
      <c r="E242" s="5">
        <v>0.0</v>
      </c>
      <c r="F242" s="5">
        <v>0.0</v>
      </c>
    </row>
    <row r="243" ht="15.75" customHeight="1">
      <c r="A243" s="4" t="s">
        <v>284</v>
      </c>
      <c r="B243" s="4" t="s">
        <v>40</v>
      </c>
      <c r="C243" s="4" t="s">
        <v>44</v>
      </c>
      <c r="D243" s="5">
        <v>1.0</v>
      </c>
      <c r="E243" s="5">
        <v>0.0</v>
      </c>
      <c r="F243" s="5">
        <v>0.0</v>
      </c>
    </row>
    <row r="244" ht="15.75" customHeight="1">
      <c r="A244" s="4" t="s">
        <v>285</v>
      </c>
      <c r="B244" s="4" t="s">
        <v>37</v>
      </c>
      <c r="C244" s="4" t="s">
        <v>128</v>
      </c>
      <c r="D244" s="5">
        <v>0.0</v>
      </c>
      <c r="E244" s="5">
        <v>0.0</v>
      </c>
      <c r="F244" s="5">
        <v>1.0</v>
      </c>
    </row>
    <row r="245" ht="15.75" customHeight="1">
      <c r="A245" s="4" t="s">
        <v>286</v>
      </c>
      <c r="B245" s="4" t="s">
        <v>40</v>
      </c>
      <c r="C245" s="4" t="s">
        <v>128</v>
      </c>
      <c r="D245" s="5">
        <v>0.0</v>
      </c>
      <c r="E245" s="5">
        <v>0.0</v>
      </c>
      <c r="F245" s="5">
        <v>1.0</v>
      </c>
    </row>
    <row r="246" ht="15.75" customHeight="1">
      <c r="A246" s="4" t="s">
        <v>287</v>
      </c>
      <c r="B246" s="4" t="s">
        <v>40</v>
      </c>
      <c r="C246" s="4" t="s">
        <v>128</v>
      </c>
      <c r="D246" s="5">
        <v>0.0</v>
      </c>
      <c r="E246" s="5">
        <v>0.0</v>
      </c>
      <c r="F246" s="5">
        <v>1.0</v>
      </c>
    </row>
    <row r="247" ht="15.75" customHeight="1">
      <c r="A247" s="4" t="s">
        <v>288</v>
      </c>
      <c r="B247" s="4" t="s">
        <v>37</v>
      </c>
      <c r="C247" s="4" t="s">
        <v>44</v>
      </c>
      <c r="D247" s="5">
        <v>0.67</v>
      </c>
      <c r="E247" s="5">
        <v>0.0</v>
      </c>
      <c r="F247" s="5">
        <v>0.0</v>
      </c>
    </row>
    <row r="248" ht="15.75" customHeight="1">
      <c r="A248" s="4" t="s">
        <v>289</v>
      </c>
      <c r="B248" s="4" t="s">
        <v>40</v>
      </c>
      <c r="C248" s="4" t="s">
        <v>44</v>
      </c>
      <c r="D248" s="5">
        <v>1.0</v>
      </c>
      <c r="E248" s="5">
        <v>0.0</v>
      </c>
      <c r="F248" s="5">
        <v>0.0</v>
      </c>
    </row>
    <row r="249" ht="15.75" customHeight="1">
      <c r="A249" s="4" t="s">
        <v>290</v>
      </c>
      <c r="B249" s="4" t="s">
        <v>40</v>
      </c>
      <c r="C249" s="4" t="s">
        <v>44</v>
      </c>
      <c r="D249" s="5">
        <v>0.5</v>
      </c>
      <c r="E249" s="5">
        <v>0.0</v>
      </c>
      <c r="F249" s="5">
        <v>0.0</v>
      </c>
    </row>
    <row r="250" ht="15.75" customHeight="1">
      <c r="A250" s="4" t="s">
        <v>291</v>
      </c>
      <c r="B250" s="4" t="s">
        <v>40</v>
      </c>
      <c r="C250" s="4" t="s">
        <v>44</v>
      </c>
      <c r="D250" s="5">
        <v>1.0</v>
      </c>
      <c r="E250" s="5">
        <v>0.0</v>
      </c>
      <c r="F250" s="5">
        <v>0.0</v>
      </c>
    </row>
    <row r="251" ht="15.75" customHeight="1">
      <c r="A251" s="4" t="s">
        <v>292</v>
      </c>
      <c r="B251" s="4" t="s">
        <v>40</v>
      </c>
      <c r="C251" s="4" t="s">
        <v>44</v>
      </c>
      <c r="D251" s="5">
        <v>0.5</v>
      </c>
      <c r="E251" s="5">
        <v>0.0</v>
      </c>
      <c r="F251" s="5">
        <v>0.0</v>
      </c>
    </row>
    <row r="252" ht="15.75" customHeight="1">
      <c r="A252" s="4" t="s">
        <v>293</v>
      </c>
      <c r="B252" s="4" t="s">
        <v>37</v>
      </c>
      <c r="C252" s="4" t="s">
        <v>137</v>
      </c>
      <c r="D252" s="5">
        <v>0.0</v>
      </c>
      <c r="E252" s="5">
        <v>0.29</v>
      </c>
      <c r="F252" s="5">
        <v>0.14</v>
      </c>
    </row>
    <row r="253" ht="15.75" customHeight="1">
      <c r="A253" s="4" t="s">
        <v>294</v>
      </c>
      <c r="B253" s="4" t="s">
        <v>40</v>
      </c>
      <c r="C253" s="4" t="s">
        <v>38</v>
      </c>
      <c r="D253" s="5">
        <v>0.0</v>
      </c>
      <c r="E253" s="5">
        <v>1.0</v>
      </c>
      <c r="F253" s="5">
        <v>0.0</v>
      </c>
    </row>
    <row r="254" ht="15.75" customHeight="1">
      <c r="A254" s="4" t="s">
        <v>295</v>
      </c>
      <c r="B254" s="4" t="s">
        <v>40</v>
      </c>
      <c r="C254" s="4" t="s">
        <v>128</v>
      </c>
      <c r="D254" s="5">
        <v>0.0</v>
      </c>
      <c r="E254" s="5">
        <v>0.0</v>
      </c>
      <c r="F254" s="5">
        <v>0.5</v>
      </c>
    </row>
    <row r="255" ht="15.75" customHeight="1">
      <c r="A255" s="4" t="s">
        <v>296</v>
      </c>
      <c r="B255" s="4" t="s">
        <v>40</v>
      </c>
      <c r="C255" s="4" t="s">
        <v>38</v>
      </c>
      <c r="D255" s="5">
        <v>0.0</v>
      </c>
      <c r="E255" s="5">
        <v>0.5</v>
      </c>
      <c r="F255" s="5">
        <v>0.0</v>
      </c>
    </row>
    <row r="256" ht="15.75" customHeight="1">
      <c r="A256" s="4" t="s">
        <v>297</v>
      </c>
      <c r="B256" s="4" t="s">
        <v>37</v>
      </c>
      <c r="C256" s="4" t="s">
        <v>38</v>
      </c>
      <c r="D256" s="5">
        <v>0.0</v>
      </c>
      <c r="E256" s="5">
        <v>1.0</v>
      </c>
      <c r="F256" s="5">
        <v>0.0</v>
      </c>
    </row>
    <row r="257" ht="15.75" customHeight="1">
      <c r="A257" s="4" t="s">
        <v>298</v>
      </c>
      <c r="B257" s="4" t="s">
        <v>40</v>
      </c>
      <c r="C257" s="4" t="s">
        <v>38</v>
      </c>
      <c r="D257" s="5">
        <v>0.0</v>
      </c>
      <c r="E257" s="5">
        <v>1.0</v>
      </c>
      <c r="F257" s="5">
        <v>0.0</v>
      </c>
    </row>
    <row r="258" ht="15.75" customHeight="1">
      <c r="A258" s="4" t="s">
        <v>299</v>
      </c>
      <c r="B258" s="4" t="s">
        <v>40</v>
      </c>
      <c r="C258" s="4" t="s">
        <v>38</v>
      </c>
      <c r="D258" s="5">
        <v>0.0</v>
      </c>
      <c r="E258" s="5">
        <v>1.0</v>
      </c>
      <c r="F258" s="5">
        <v>0.0</v>
      </c>
    </row>
    <row r="259" ht="15.75" customHeight="1">
      <c r="A259" s="4" t="s">
        <v>300</v>
      </c>
      <c r="B259" s="4" t="s">
        <v>37</v>
      </c>
      <c r="C259" s="4" t="s">
        <v>38</v>
      </c>
      <c r="D259" s="5">
        <v>0.0</v>
      </c>
      <c r="E259" s="5">
        <v>1.0</v>
      </c>
      <c r="F259" s="5">
        <v>0.0</v>
      </c>
    </row>
    <row r="260" ht="15.75" customHeight="1">
      <c r="A260" s="4" t="s">
        <v>301</v>
      </c>
      <c r="B260" s="4" t="s">
        <v>40</v>
      </c>
      <c r="C260" s="4" t="s">
        <v>38</v>
      </c>
      <c r="D260" s="5">
        <v>0.0</v>
      </c>
      <c r="E260" s="5">
        <v>1.0</v>
      </c>
      <c r="F260" s="5">
        <v>0.0</v>
      </c>
    </row>
    <row r="261" ht="15.75" customHeight="1">
      <c r="A261" s="4" t="s">
        <v>302</v>
      </c>
      <c r="B261" s="4" t="s">
        <v>40</v>
      </c>
      <c r="C261" s="4" t="s">
        <v>38</v>
      </c>
      <c r="D261" s="5">
        <v>0.0</v>
      </c>
      <c r="E261" s="5">
        <v>1.0</v>
      </c>
      <c r="F261" s="5">
        <v>0.0</v>
      </c>
    </row>
    <row r="262" ht="15.75" customHeight="1">
      <c r="A262" s="4" t="s">
        <v>303</v>
      </c>
      <c r="B262" s="4" t="s">
        <v>40</v>
      </c>
      <c r="C262" s="4" t="s">
        <v>38</v>
      </c>
      <c r="D262" s="5">
        <v>0.0</v>
      </c>
      <c r="E262" s="5">
        <v>1.0</v>
      </c>
      <c r="F262" s="5">
        <v>0.0</v>
      </c>
    </row>
    <row r="263" ht="15.75" customHeight="1">
      <c r="A263" s="4" t="s">
        <v>304</v>
      </c>
      <c r="B263" s="4" t="s">
        <v>40</v>
      </c>
      <c r="C263" s="4" t="s">
        <v>38</v>
      </c>
      <c r="D263" s="5">
        <v>0.0</v>
      </c>
      <c r="E263" s="5">
        <v>1.0</v>
      </c>
      <c r="F263" s="5">
        <v>0.0</v>
      </c>
    </row>
    <row r="264" ht="15.75" customHeight="1">
      <c r="A264" s="4" t="s">
        <v>305</v>
      </c>
      <c r="B264" s="4" t="s">
        <v>40</v>
      </c>
      <c r="C264" s="4" t="s">
        <v>38</v>
      </c>
      <c r="D264" s="5">
        <v>0.0</v>
      </c>
      <c r="E264" s="5">
        <v>1.0</v>
      </c>
      <c r="F264" s="5">
        <v>0.0</v>
      </c>
    </row>
    <row r="265" ht="15.75" customHeight="1">
      <c r="A265" s="4" t="s">
        <v>306</v>
      </c>
      <c r="B265" s="4" t="s">
        <v>40</v>
      </c>
      <c r="C265" s="4" t="s">
        <v>38</v>
      </c>
      <c r="D265" s="5">
        <v>0.0</v>
      </c>
      <c r="E265" s="5">
        <v>1.0</v>
      </c>
      <c r="F265" s="5">
        <v>0.0</v>
      </c>
    </row>
    <row r="266" ht="15.75" customHeight="1">
      <c r="A266" s="4" t="s">
        <v>307</v>
      </c>
      <c r="B266" s="4" t="s">
        <v>40</v>
      </c>
      <c r="C266" s="4" t="s">
        <v>38</v>
      </c>
      <c r="D266" s="5">
        <v>0.0</v>
      </c>
      <c r="E266" s="5">
        <v>1.0</v>
      </c>
      <c r="F266" s="5">
        <v>0.0</v>
      </c>
    </row>
    <row r="267" ht="15.75" customHeight="1">
      <c r="A267" s="4" t="s">
        <v>308</v>
      </c>
      <c r="B267" s="4" t="s">
        <v>40</v>
      </c>
      <c r="C267" s="4" t="s">
        <v>38</v>
      </c>
      <c r="D267" s="5">
        <v>0.0</v>
      </c>
      <c r="E267" s="5">
        <v>1.0</v>
      </c>
      <c r="F267" s="5">
        <v>0.0</v>
      </c>
    </row>
    <row r="268" ht="15.75" customHeight="1">
      <c r="A268" s="4" t="s">
        <v>309</v>
      </c>
      <c r="B268" s="4" t="s">
        <v>40</v>
      </c>
      <c r="C268" s="4" t="s">
        <v>38</v>
      </c>
      <c r="D268" s="5">
        <v>0.0</v>
      </c>
      <c r="E268" s="5">
        <v>1.0</v>
      </c>
      <c r="F268" s="5">
        <v>0.0</v>
      </c>
    </row>
    <row r="269" ht="15.75" customHeight="1">
      <c r="A269" s="4" t="s">
        <v>310</v>
      </c>
      <c r="B269" s="4" t="s">
        <v>37</v>
      </c>
      <c r="C269" s="4" t="s">
        <v>38</v>
      </c>
      <c r="D269" s="5">
        <v>0.0</v>
      </c>
      <c r="E269" s="5">
        <v>1.0</v>
      </c>
      <c r="F269" s="5">
        <v>0.0</v>
      </c>
    </row>
    <row r="270" ht="15.75" customHeight="1">
      <c r="A270" s="4" t="s">
        <v>311</v>
      </c>
      <c r="B270" s="4" t="s">
        <v>40</v>
      </c>
      <c r="C270" s="4" t="s">
        <v>38</v>
      </c>
      <c r="D270" s="5">
        <v>0.0</v>
      </c>
      <c r="E270" s="5">
        <v>1.0</v>
      </c>
      <c r="F270" s="5">
        <v>0.0</v>
      </c>
    </row>
    <row r="271" ht="15.75" customHeight="1">
      <c r="A271" s="4" t="s">
        <v>312</v>
      </c>
      <c r="B271" s="4" t="s">
        <v>40</v>
      </c>
      <c r="C271" s="4" t="s">
        <v>38</v>
      </c>
      <c r="D271" s="5">
        <v>0.0</v>
      </c>
      <c r="E271" s="5">
        <v>1.0</v>
      </c>
      <c r="F271" s="5">
        <v>0.0</v>
      </c>
    </row>
    <row r="272" ht="15.75" customHeight="1">
      <c r="A272" s="4" t="s">
        <v>313</v>
      </c>
      <c r="B272" s="4" t="s">
        <v>40</v>
      </c>
      <c r="C272" s="4" t="s">
        <v>38</v>
      </c>
      <c r="D272" s="5">
        <v>0.0</v>
      </c>
      <c r="E272" s="5">
        <v>1.0</v>
      </c>
      <c r="F272" s="5">
        <v>0.0</v>
      </c>
    </row>
    <row r="273" ht="15.75" customHeight="1">
      <c r="A273" s="4" t="s">
        <v>314</v>
      </c>
      <c r="B273" s="4" t="s">
        <v>40</v>
      </c>
      <c r="C273" s="4" t="s">
        <v>38</v>
      </c>
      <c r="D273" s="5">
        <v>0.0</v>
      </c>
      <c r="E273" s="5">
        <v>1.0</v>
      </c>
      <c r="F273" s="5">
        <v>0.0</v>
      </c>
    </row>
    <row r="274" ht="15.75" customHeight="1">
      <c r="A274" s="4" t="s">
        <v>315</v>
      </c>
      <c r="B274" s="4" t="s">
        <v>37</v>
      </c>
      <c r="C274" s="4" t="s">
        <v>38</v>
      </c>
      <c r="D274" s="5">
        <v>0.0</v>
      </c>
      <c r="E274" s="5">
        <v>1.0</v>
      </c>
      <c r="F274" s="5">
        <v>0.0</v>
      </c>
    </row>
    <row r="275" ht="15.75" customHeight="1">
      <c r="A275" s="4" t="s">
        <v>316</v>
      </c>
      <c r="B275" s="4" t="s">
        <v>40</v>
      </c>
      <c r="C275" s="4" t="s">
        <v>38</v>
      </c>
      <c r="D275" s="5">
        <v>0.0</v>
      </c>
      <c r="E275" s="5">
        <v>1.0</v>
      </c>
      <c r="F275" s="5">
        <v>0.0</v>
      </c>
    </row>
    <row r="276" ht="15.75" customHeight="1">
      <c r="A276" s="4" t="s">
        <v>317</v>
      </c>
      <c r="B276" s="4" t="s">
        <v>37</v>
      </c>
      <c r="C276" s="4" t="s">
        <v>38</v>
      </c>
      <c r="D276" s="5">
        <v>0.0</v>
      </c>
      <c r="E276" s="5">
        <v>1.0</v>
      </c>
      <c r="F276" s="5">
        <v>0.0</v>
      </c>
    </row>
    <row r="277" ht="15.75" customHeight="1">
      <c r="A277" s="4" t="s">
        <v>318</v>
      </c>
      <c r="B277" s="4" t="s">
        <v>40</v>
      </c>
      <c r="C277" s="4" t="s">
        <v>38</v>
      </c>
      <c r="D277" s="5">
        <v>0.0</v>
      </c>
      <c r="E277" s="5">
        <v>1.0</v>
      </c>
      <c r="F277" s="5">
        <v>0.0</v>
      </c>
    </row>
    <row r="278" ht="15.75" customHeight="1">
      <c r="A278" s="4" t="s">
        <v>319</v>
      </c>
      <c r="B278" s="4" t="s">
        <v>40</v>
      </c>
      <c r="C278" s="4" t="s">
        <v>38</v>
      </c>
      <c r="D278" s="5">
        <v>0.0</v>
      </c>
      <c r="E278" s="5">
        <v>1.0</v>
      </c>
      <c r="F278" s="5">
        <v>0.0</v>
      </c>
    </row>
    <row r="279" ht="15.75" customHeight="1">
      <c r="A279" s="4" t="s">
        <v>320</v>
      </c>
      <c r="B279" s="4" t="s">
        <v>40</v>
      </c>
      <c r="C279" s="4" t="s">
        <v>38</v>
      </c>
      <c r="D279" s="5">
        <v>0.0</v>
      </c>
      <c r="E279" s="5">
        <v>1.0</v>
      </c>
      <c r="F279" s="5">
        <v>0.0</v>
      </c>
    </row>
    <row r="280" ht="15.75" customHeight="1">
      <c r="A280" s="4" t="s">
        <v>321</v>
      </c>
      <c r="B280" s="4" t="s">
        <v>40</v>
      </c>
      <c r="C280" s="4" t="s">
        <v>38</v>
      </c>
      <c r="D280" s="5">
        <v>0.0</v>
      </c>
      <c r="E280" s="5">
        <v>1.0</v>
      </c>
      <c r="F280" s="5">
        <v>0.0</v>
      </c>
    </row>
    <row r="281" ht="15.75" customHeight="1">
      <c r="A281" s="4" t="s">
        <v>322</v>
      </c>
      <c r="B281" s="4" t="s">
        <v>40</v>
      </c>
      <c r="C281" s="4" t="s">
        <v>38</v>
      </c>
      <c r="D281" s="5">
        <v>0.0</v>
      </c>
      <c r="E281" s="5">
        <v>1.0</v>
      </c>
      <c r="F281" s="5">
        <v>0.0</v>
      </c>
    </row>
    <row r="282" ht="15.75" customHeight="1">
      <c r="A282" s="4" t="s">
        <v>323</v>
      </c>
      <c r="B282" s="4" t="s">
        <v>40</v>
      </c>
      <c r="C282" s="4" t="s">
        <v>38</v>
      </c>
      <c r="D282" s="5">
        <v>0.0</v>
      </c>
      <c r="E282" s="5">
        <v>1.0</v>
      </c>
      <c r="F282" s="5">
        <v>0.0</v>
      </c>
    </row>
    <row r="283" ht="15.75" customHeight="1">
      <c r="A283" s="4" t="s">
        <v>324</v>
      </c>
      <c r="B283" s="4" t="s">
        <v>40</v>
      </c>
      <c r="C283" s="4" t="s">
        <v>38</v>
      </c>
      <c r="D283" s="5">
        <v>0.0</v>
      </c>
      <c r="E283" s="5">
        <v>1.0</v>
      </c>
      <c r="F283" s="5">
        <v>0.0</v>
      </c>
    </row>
    <row r="284" ht="15.75" customHeight="1">
      <c r="A284" s="4" t="s">
        <v>325</v>
      </c>
      <c r="B284" s="4" t="s">
        <v>40</v>
      </c>
      <c r="C284" s="4" t="s">
        <v>38</v>
      </c>
      <c r="D284" s="5">
        <v>0.0</v>
      </c>
      <c r="E284" s="5">
        <v>1.0</v>
      </c>
      <c r="F284" s="5">
        <v>0.0</v>
      </c>
    </row>
    <row r="285" ht="15.75" customHeight="1">
      <c r="A285" s="4" t="s">
        <v>326</v>
      </c>
      <c r="B285" s="4" t="s">
        <v>157</v>
      </c>
      <c r="C285" s="4" t="s">
        <v>38</v>
      </c>
      <c r="D285" s="5">
        <v>0.0</v>
      </c>
      <c r="E285" s="5">
        <v>1.0</v>
      </c>
      <c r="F285" s="5">
        <v>0.0</v>
      </c>
    </row>
    <row r="286" ht="15.75" customHeight="1">
      <c r="A286" s="4" t="s">
        <v>327</v>
      </c>
      <c r="B286" s="4" t="s">
        <v>37</v>
      </c>
      <c r="C286" s="4" t="s">
        <v>128</v>
      </c>
      <c r="D286" s="5">
        <v>0.0</v>
      </c>
      <c r="E286" s="5">
        <v>0.0</v>
      </c>
      <c r="F286" s="5">
        <v>1.0</v>
      </c>
    </row>
    <row r="287" ht="15.75" customHeight="1">
      <c r="A287" s="4" t="s">
        <v>328</v>
      </c>
      <c r="B287" s="4" t="s">
        <v>40</v>
      </c>
      <c r="C287" s="4" t="s">
        <v>128</v>
      </c>
      <c r="D287" s="5">
        <v>0.0</v>
      </c>
      <c r="E287" s="5">
        <v>0.0</v>
      </c>
      <c r="F287" s="5">
        <v>1.0</v>
      </c>
    </row>
    <row r="288" ht="15.75" customHeight="1">
      <c r="A288" s="4" t="s">
        <v>329</v>
      </c>
      <c r="B288" s="4" t="s">
        <v>40</v>
      </c>
      <c r="C288" s="4" t="s">
        <v>128</v>
      </c>
      <c r="D288" s="5">
        <v>0.0</v>
      </c>
      <c r="E288" s="5">
        <v>0.0</v>
      </c>
      <c r="F288" s="5">
        <v>1.0</v>
      </c>
    </row>
    <row r="289" ht="15.75" customHeight="1">
      <c r="A289" s="4" t="s">
        <v>330</v>
      </c>
      <c r="B289" s="4" t="s">
        <v>40</v>
      </c>
      <c r="C289" s="4" t="s">
        <v>128</v>
      </c>
      <c r="D289" s="5">
        <v>0.0</v>
      </c>
      <c r="E289" s="5">
        <v>0.0</v>
      </c>
      <c r="F289" s="5">
        <v>1.0</v>
      </c>
    </row>
    <row r="290" ht="15.75" customHeight="1">
      <c r="A290" s="4" t="s">
        <v>331</v>
      </c>
      <c r="B290" s="4" t="s">
        <v>40</v>
      </c>
      <c r="C290" s="4" t="s">
        <v>128</v>
      </c>
      <c r="D290" s="5">
        <v>0.0</v>
      </c>
      <c r="E290" s="5">
        <v>0.0</v>
      </c>
      <c r="F290" s="5">
        <v>1.0</v>
      </c>
    </row>
    <row r="291" ht="15.75" customHeight="1">
      <c r="A291" s="4" t="s">
        <v>332</v>
      </c>
      <c r="B291" s="4" t="s">
        <v>40</v>
      </c>
      <c r="C291" s="4" t="s">
        <v>128</v>
      </c>
      <c r="D291" s="5">
        <v>0.0</v>
      </c>
      <c r="E291" s="5">
        <v>0.0</v>
      </c>
      <c r="F291" s="5">
        <v>1.0</v>
      </c>
    </row>
    <row r="292" ht="15.75" customHeight="1">
      <c r="A292" s="4" t="s">
        <v>333</v>
      </c>
      <c r="B292" s="4" t="s">
        <v>40</v>
      </c>
      <c r="C292" s="4" t="s">
        <v>128</v>
      </c>
      <c r="D292" s="5">
        <v>0.0</v>
      </c>
      <c r="E292" s="5">
        <v>0.0</v>
      </c>
      <c r="F292" s="5">
        <v>1.0</v>
      </c>
    </row>
    <row r="293" ht="15.75" customHeight="1">
      <c r="A293" s="4" t="s">
        <v>334</v>
      </c>
      <c r="B293" s="4" t="s">
        <v>40</v>
      </c>
      <c r="C293" s="4" t="s">
        <v>128</v>
      </c>
      <c r="D293" s="5">
        <v>0.0</v>
      </c>
      <c r="E293" s="5">
        <v>0.0</v>
      </c>
      <c r="F293" s="5">
        <v>1.0</v>
      </c>
    </row>
    <row r="294" ht="15.75" customHeight="1">
      <c r="A294" s="4" t="s">
        <v>335</v>
      </c>
      <c r="B294" s="4" t="s">
        <v>40</v>
      </c>
      <c r="C294" s="4" t="s">
        <v>128</v>
      </c>
      <c r="D294" s="5">
        <v>0.0</v>
      </c>
      <c r="E294" s="5">
        <v>0.0</v>
      </c>
      <c r="F294" s="5">
        <v>1.0</v>
      </c>
    </row>
    <row r="295" ht="15.75" customHeight="1">
      <c r="A295" s="4" t="s">
        <v>336</v>
      </c>
      <c r="B295" s="4" t="s">
        <v>37</v>
      </c>
      <c r="C295" s="4" t="s">
        <v>128</v>
      </c>
      <c r="D295" s="5">
        <v>0.0</v>
      </c>
      <c r="E295" s="5">
        <v>0.0</v>
      </c>
      <c r="F295" s="5">
        <v>1.0</v>
      </c>
    </row>
    <row r="296" ht="15.75" customHeight="1">
      <c r="A296" s="4" t="s">
        <v>337</v>
      </c>
      <c r="B296" s="4" t="s">
        <v>40</v>
      </c>
      <c r="C296" s="4" t="s">
        <v>128</v>
      </c>
      <c r="D296" s="5">
        <v>0.0</v>
      </c>
      <c r="E296" s="5">
        <v>0.0</v>
      </c>
      <c r="F296" s="5">
        <v>1.0</v>
      </c>
    </row>
    <row r="297" ht="15.75" customHeight="1">
      <c r="A297" s="4" t="s">
        <v>338</v>
      </c>
      <c r="B297" s="4" t="s">
        <v>37</v>
      </c>
      <c r="C297" s="4" t="s">
        <v>38</v>
      </c>
      <c r="D297" s="5">
        <v>0.0</v>
      </c>
      <c r="E297" s="5">
        <v>1.0</v>
      </c>
      <c r="F297" s="5">
        <v>0.0</v>
      </c>
    </row>
    <row r="298" ht="15.75" customHeight="1">
      <c r="A298" s="4" t="s">
        <v>339</v>
      </c>
      <c r="B298" s="4" t="s">
        <v>40</v>
      </c>
      <c r="C298" s="4" t="s">
        <v>38</v>
      </c>
      <c r="D298" s="5">
        <v>0.0</v>
      </c>
      <c r="E298" s="5">
        <v>1.0</v>
      </c>
      <c r="F298" s="5">
        <v>0.0</v>
      </c>
    </row>
    <row r="299" ht="15.75" customHeight="1">
      <c r="A299" s="4" t="s">
        <v>340</v>
      </c>
      <c r="B299" s="4" t="s">
        <v>40</v>
      </c>
      <c r="C299" s="4" t="s">
        <v>38</v>
      </c>
      <c r="D299" s="5">
        <v>0.0</v>
      </c>
      <c r="E299" s="5">
        <v>1.0</v>
      </c>
      <c r="F299" s="5">
        <v>0.0</v>
      </c>
    </row>
    <row r="300" ht="15.75" customHeight="1">
      <c r="A300" s="4" t="s">
        <v>341</v>
      </c>
      <c r="B300" s="4" t="s">
        <v>157</v>
      </c>
      <c r="C300" s="4" t="s">
        <v>38</v>
      </c>
      <c r="D300" s="5">
        <v>0.0</v>
      </c>
      <c r="E300" s="5">
        <v>1.0</v>
      </c>
      <c r="F300" s="5">
        <v>0.0</v>
      </c>
    </row>
    <row r="301" ht="15.75" customHeight="1">
      <c r="A301" s="4" t="s">
        <v>342</v>
      </c>
      <c r="B301" s="4" t="s">
        <v>37</v>
      </c>
      <c r="C301" s="4" t="s">
        <v>38</v>
      </c>
      <c r="D301" s="5">
        <v>0.0</v>
      </c>
      <c r="E301" s="5">
        <v>0.33</v>
      </c>
      <c r="F301" s="5">
        <v>0.0</v>
      </c>
    </row>
    <row r="302" ht="15.75" customHeight="1">
      <c r="A302" s="4" t="s">
        <v>343</v>
      </c>
      <c r="B302" s="4" t="s">
        <v>40</v>
      </c>
      <c r="C302" s="4" t="s">
        <v>38</v>
      </c>
      <c r="D302" s="5">
        <v>0.0</v>
      </c>
      <c r="E302" s="5">
        <v>0.5</v>
      </c>
      <c r="F302" s="5">
        <v>0.0</v>
      </c>
    </row>
    <row r="303" ht="15.75" customHeight="1">
      <c r="A303" s="4" t="s">
        <v>344</v>
      </c>
      <c r="B303" s="4" t="s">
        <v>157</v>
      </c>
      <c r="C303" s="4" t="s">
        <v>38</v>
      </c>
      <c r="D303" s="5">
        <v>0.0</v>
      </c>
      <c r="E303" s="5">
        <v>0.33</v>
      </c>
      <c r="F303" s="5">
        <v>0.0</v>
      </c>
    </row>
    <row r="304" ht="15.75" customHeight="1">
      <c r="A304" s="4" t="s">
        <v>345</v>
      </c>
      <c r="B304" s="4" t="s">
        <v>37</v>
      </c>
      <c r="C304" s="4" t="s">
        <v>38</v>
      </c>
      <c r="D304" s="5">
        <v>0.0</v>
      </c>
      <c r="E304" s="5">
        <v>1.0</v>
      </c>
      <c r="F304" s="5">
        <v>0.0</v>
      </c>
    </row>
    <row r="305" ht="15.75" customHeight="1">
      <c r="A305" s="4" t="s">
        <v>346</v>
      </c>
      <c r="B305" s="4" t="s">
        <v>40</v>
      </c>
      <c r="C305" s="4" t="s">
        <v>38</v>
      </c>
      <c r="D305" s="5">
        <v>0.0</v>
      </c>
      <c r="E305" s="5">
        <v>1.0</v>
      </c>
      <c r="F305" s="5">
        <v>0.0</v>
      </c>
    </row>
    <row r="306" ht="15.75" customHeight="1">
      <c r="A306" s="4" t="s">
        <v>347</v>
      </c>
      <c r="B306" s="4" t="s">
        <v>40</v>
      </c>
      <c r="C306" s="4" t="s">
        <v>38</v>
      </c>
      <c r="D306" s="5">
        <v>0.0</v>
      </c>
      <c r="E306" s="5">
        <v>1.0</v>
      </c>
      <c r="F306" s="5">
        <v>0.0</v>
      </c>
    </row>
    <row r="307" ht="15.75" customHeight="1">
      <c r="A307" s="4" t="s">
        <v>348</v>
      </c>
      <c r="B307" s="4" t="s">
        <v>40</v>
      </c>
      <c r="C307" s="4" t="s">
        <v>38</v>
      </c>
      <c r="D307" s="5">
        <v>0.0</v>
      </c>
      <c r="E307" s="5">
        <v>1.0</v>
      </c>
      <c r="F307" s="5">
        <v>0.0</v>
      </c>
    </row>
    <row r="308" ht="15.75" customHeight="1">
      <c r="A308" s="4" t="s">
        <v>349</v>
      </c>
      <c r="B308" s="4" t="s">
        <v>37</v>
      </c>
      <c r="C308" s="4" t="s">
        <v>44</v>
      </c>
      <c r="D308" s="5">
        <v>1.0</v>
      </c>
      <c r="E308" s="5">
        <v>0.0</v>
      </c>
      <c r="F308" s="5">
        <v>0.0</v>
      </c>
    </row>
    <row r="309" ht="15.75" customHeight="1">
      <c r="A309" s="4" t="s">
        <v>350</v>
      </c>
      <c r="B309" s="4" t="s">
        <v>40</v>
      </c>
      <c r="C309" s="4" t="s">
        <v>44</v>
      </c>
      <c r="D309" s="5">
        <v>1.0</v>
      </c>
      <c r="E309" s="5">
        <v>0.0</v>
      </c>
      <c r="F309" s="5">
        <v>0.0</v>
      </c>
    </row>
    <row r="310" ht="15.75" customHeight="1">
      <c r="A310" s="4" t="s">
        <v>351</v>
      </c>
      <c r="B310" s="4" t="s">
        <v>40</v>
      </c>
      <c r="C310" s="4" t="s">
        <v>44</v>
      </c>
      <c r="D310" s="5">
        <v>1.0</v>
      </c>
      <c r="E310" s="5">
        <v>0.0</v>
      </c>
      <c r="F310" s="5">
        <v>0.0</v>
      </c>
    </row>
    <row r="311" ht="15.75" customHeight="1">
      <c r="A311" s="4" t="s">
        <v>352</v>
      </c>
      <c r="B311" s="4" t="s">
        <v>40</v>
      </c>
      <c r="C311" s="4" t="s">
        <v>44</v>
      </c>
      <c r="D311" s="5">
        <v>1.0</v>
      </c>
      <c r="E311" s="5">
        <v>0.0</v>
      </c>
      <c r="F311" s="5">
        <v>0.0</v>
      </c>
    </row>
    <row r="312" ht="15.75" customHeight="1">
      <c r="A312" s="4" t="s">
        <v>353</v>
      </c>
      <c r="B312" s="4" t="s">
        <v>40</v>
      </c>
      <c r="C312" s="4" t="s">
        <v>44</v>
      </c>
      <c r="D312" s="5">
        <v>1.0</v>
      </c>
      <c r="E312" s="5">
        <v>0.0</v>
      </c>
      <c r="F312" s="5">
        <v>0.0</v>
      </c>
    </row>
    <row r="313" ht="15.75" customHeight="1">
      <c r="A313" s="4" t="s">
        <v>354</v>
      </c>
      <c r="B313" s="4" t="s">
        <v>157</v>
      </c>
      <c r="C313" s="4" t="s">
        <v>44</v>
      </c>
      <c r="D313" s="5">
        <v>1.0</v>
      </c>
      <c r="E313" s="5">
        <v>0.0</v>
      </c>
      <c r="F313" s="5">
        <v>0.0</v>
      </c>
    </row>
    <row r="314" ht="15.75" customHeight="1">
      <c r="A314" s="4" t="s">
        <v>355</v>
      </c>
      <c r="B314" s="4" t="s">
        <v>37</v>
      </c>
      <c r="C314" s="4" t="s">
        <v>38</v>
      </c>
      <c r="D314" s="5">
        <v>0.0</v>
      </c>
      <c r="E314" s="5">
        <v>1.0</v>
      </c>
      <c r="F314" s="5">
        <v>0.0</v>
      </c>
    </row>
    <row r="315" ht="15.75" customHeight="1">
      <c r="A315" s="4" t="s">
        <v>356</v>
      </c>
      <c r="B315" s="4" t="s">
        <v>40</v>
      </c>
      <c r="C315" s="4" t="s">
        <v>38</v>
      </c>
      <c r="D315" s="5">
        <v>0.0</v>
      </c>
      <c r="E315" s="5">
        <v>1.0</v>
      </c>
      <c r="F315" s="5">
        <v>0.0</v>
      </c>
    </row>
    <row r="316" ht="15.75" customHeight="1">
      <c r="A316" s="4" t="s">
        <v>357</v>
      </c>
      <c r="B316" s="4" t="s">
        <v>157</v>
      </c>
      <c r="C316" s="4" t="s">
        <v>38</v>
      </c>
      <c r="D316" s="5">
        <v>0.0</v>
      </c>
      <c r="E316" s="5">
        <v>1.0</v>
      </c>
      <c r="F316" s="5">
        <v>0.0</v>
      </c>
    </row>
    <row r="317" ht="15.75" customHeight="1">
      <c r="A317" s="4" t="s">
        <v>358</v>
      </c>
      <c r="B317" s="4" t="s">
        <v>37</v>
      </c>
      <c r="C317" s="4" t="s">
        <v>38</v>
      </c>
      <c r="D317" s="5">
        <v>0.0</v>
      </c>
      <c r="E317" s="5">
        <v>1.0</v>
      </c>
      <c r="F317" s="5">
        <v>0.0</v>
      </c>
    </row>
    <row r="318" ht="15.75" customHeight="1">
      <c r="A318" s="4" t="s">
        <v>359</v>
      </c>
      <c r="B318" s="4" t="s">
        <v>37</v>
      </c>
      <c r="C318" s="4" t="s">
        <v>280</v>
      </c>
      <c r="D318" s="5">
        <v>0.25</v>
      </c>
      <c r="E318" s="5">
        <v>0.31</v>
      </c>
      <c r="F318" s="5">
        <v>0.0</v>
      </c>
    </row>
    <row r="319" ht="15.75" customHeight="1">
      <c r="A319" s="4" t="s">
        <v>360</v>
      </c>
      <c r="B319" s="4" t="s">
        <v>40</v>
      </c>
      <c r="C319" s="4" t="s">
        <v>44</v>
      </c>
      <c r="D319" s="5">
        <v>0.5</v>
      </c>
      <c r="E319" s="5">
        <v>0.0</v>
      </c>
      <c r="F319" s="5">
        <v>0.0</v>
      </c>
    </row>
    <row r="320" ht="15.75" customHeight="1">
      <c r="A320" s="4" t="s">
        <v>361</v>
      </c>
      <c r="B320" s="4" t="s">
        <v>40</v>
      </c>
      <c r="C320" s="4" t="s">
        <v>38</v>
      </c>
      <c r="D320" s="5">
        <v>0.0</v>
      </c>
      <c r="E320" s="5">
        <v>1.0</v>
      </c>
      <c r="F320" s="5">
        <v>0.0</v>
      </c>
    </row>
    <row r="321" ht="15.75" customHeight="1">
      <c r="A321" s="4" t="s">
        <v>362</v>
      </c>
      <c r="B321" s="4" t="s">
        <v>40</v>
      </c>
      <c r="C321" s="4" t="s">
        <v>44</v>
      </c>
      <c r="D321" s="5">
        <v>1.0</v>
      </c>
      <c r="E321" s="5">
        <v>0.0</v>
      </c>
      <c r="F321" s="5">
        <v>0.0</v>
      </c>
    </row>
    <row r="322" ht="15.75" customHeight="1">
      <c r="A322" s="4" t="s">
        <v>363</v>
      </c>
      <c r="B322" s="4" t="s">
        <v>40</v>
      </c>
      <c r="C322" s="4" t="s">
        <v>38</v>
      </c>
      <c r="D322" s="5">
        <v>0.0</v>
      </c>
      <c r="E322" s="5">
        <v>0.5</v>
      </c>
      <c r="F322" s="5">
        <v>0.0</v>
      </c>
    </row>
    <row r="323" ht="15.75" customHeight="1">
      <c r="A323" s="4" t="s">
        <v>364</v>
      </c>
      <c r="B323" s="4" t="s">
        <v>40</v>
      </c>
      <c r="C323" s="4" t="s">
        <v>44</v>
      </c>
      <c r="D323" s="5">
        <v>1.0</v>
      </c>
      <c r="E323" s="5">
        <v>0.0</v>
      </c>
      <c r="F323" s="5">
        <v>0.0</v>
      </c>
    </row>
    <row r="324" ht="15.75" customHeight="1">
      <c r="A324" s="4" t="s">
        <v>365</v>
      </c>
      <c r="B324" s="4" t="s">
        <v>40</v>
      </c>
      <c r="C324" s="4" t="s">
        <v>38</v>
      </c>
      <c r="D324" s="5">
        <v>0.0</v>
      </c>
      <c r="E324" s="5">
        <v>1.0</v>
      </c>
      <c r="F324" s="5">
        <v>0.0</v>
      </c>
    </row>
    <row r="325" ht="15.75" customHeight="1">
      <c r="A325" s="4" t="s">
        <v>366</v>
      </c>
      <c r="B325" s="4" t="s">
        <v>40</v>
      </c>
      <c r="C325" s="4" t="s">
        <v>38</v>
      </c>
      <c r="D325" s="5">
        <v>0.0</v>
      </c>
      <c r="E325" s="5">
        <v>1.0</v>
      </c>
      <c r="F325" s="5">
        <v>0.0</v>
      </c>
    </row>
    <row r="326" ht="15.75" customHeight="1">
      <c r="A326" s="4" t="s">
        <v>367</v>
      </c>
      <c r="B326" s="4" t="s">
        <v>40</v>
      </c>
      <c r="C326" s="4" t="s">
        <v>38</v>
      </c>
      <c r="D326" s="5">
        <v>0.0</v>
      </c>
      <c r="E326" s="5">
        <v>1.0</v>
      </c>
      <c r="F326" s="5">
        <v>0.0</v>
      </c>
    </row>
    <row r="327" ht="15.75" customHeight="1">
      <c r="A327" s="4" t="s">
        <v>368</v>
      </c>
      <c r="B327" s="4" t="s">
        <v>40</v>
      </c>
      <c r="C327" s="4" t="s">
        <v>38</v>
      </c>
      <c r="D327" s="5">
        <v>0.0</v>
      </c>
      <c r="E327" s="5">
        <v>0.5</v>
      </c>
      <c r="F327" s="5">
        <v>0.0</v>
      </c>
    </row>
    <row r="328" ht="15.75" customHeight="1">
      <c r="A328" s="4" t="s">
        <v>369</v>
      </c>
      <c r="B328" s="4" t="s">
        <v>40</v>
      </c>
      <c r="C328" s="4" t="s">
        <v>38</v>
      </c>
      <c r="D328" s="5">
        <v>0.0</v>
      </c>
      <c r="E328" s="5">
        <v>0.5</v>
      </c>
      <c r="F328" s="5">
        <v>0.0</v>
      </c>
    </row>
    <row r="329" ht="15.75" customHeight="1">
      <c r="A329" s="4" t="s">
        <v>370</v>
      </c>
      <c r="B329" s="4" t="s">
        <v>40</v>
      </c>
      <c r="C329" s="4" t="s">
        <v>44</v>
      </c>
      <c r="D329" s="5">
        <v>1.0</v>
      </c>
      <c r="E329" s="5">
        <v>0.0</v>
      </c>
      <c r="F329" s="5">
        <v>0.0</v>
      </c>
    </row>
    <row r="330" ht="15.75" customHeight="1">
      <c r="A330" s="4" t="s">
        <v>371</v>
      </c>
      <c r="B330" s="4" t="s">
        <v>40</v>
      </c>
      <c r="C330" s="4" t="s">
        <v>44</v>
      </c>
      <c r="D330" s="5">
        <v>1.0</v>
      </c>
      <c r="E330" s="5">
        <v>0.0</v>
      </c>
      <c r="F330" s="5">
        <v>0.0</v>
      </c>
    </row>
    <row r="331" ht="15.75" customHeight="1">
      <c r="A331" s="4" t="s">
        <v>372</v>
      </c>
      <c r="B331" s="4" t="s">
        <v>40</v>
      </c>
      <c r="C331" s="4" t="s">
        <v>38</v>
      </c>
      <c r="D331" s="5">
        <v>0.0</v>
      </c>
      <c r="E331" s="5">
        <v>1.0</v>
      </c>
      <c r="F331" s="5">
        <v>0.0</v>
      </c>
    </row>
    <row r="332" ht="15.75" customHeight="1">
      <c r="A332" s="4" t="s">
        <v>373</v>
      </c>
      <c r="B332" s="4" t="s">
        <v>40</v>
      </c>
      <c r="C332" s="4" t="s">
        <v>38</v>
      </c>
      <c r="D332" s="5">
        <v>0.0</v>
      </c>
      <c r="E332" s="5">
        <v>1.0</v>
      </c>
      <c r="F332" s="5">
        <v>0.0</v>
      </c>
    </row>
    <row r="333" ht="15.75" customHeight="1">
      <c r="A333" s="4" t="s">
        <v>374</v>
      </c>
      <c r="B333" s="4" t="s">
        <v>40</v>
      </c>
      <c r="C333" s="4" t="s">
        <v>44</v>
      </c>
      <c r="D333" s="5">
        <v>1.0</v>
      </c>
      <c r="E333" s="5">
        <v>0.0</v>
      </c>
      <c r="F333" s="5">
        <v>0.0</v>
      </c>
    </row>
    <row r="334" ht="15.75" customHeight="1">
      <c r="A334" s="4" t="s">
        <v>375</v>
      </c>
      <c r="B334" s="4" t="s">
        <v>40</v>
      </c>
      <c r="C334" s="4" t="s">
        <v>38</v>
      </c>
      <c r="D334" s="5">
        <v>0.0</v>
      </c>
      <c r="E334" s="5">
        <v>0.5</v>
      </c>
      <c r="F334" s="5">
        <v>0.0</v>
      </c>
    </row>
    <row r="335" ht="15.75" customHeight="1">
      <c r="A335" s="4" t="s">
        <v>376</v>
      </c>
      <c r="B335" s="4" t="s">
        <v>40</v>
      </c>
      <c r="C335" s="4" t="s">
        <v>38</v>
      </c>
      <c r="D335" s="5">
        <v>0.0</v>
      </c>
      <c r="E335" s="5">
        <v>1.0</v>
      </c>
      <c r="F335" s="5">
        <v>0.0</v>
      </c>
    </row>
    <row r="336" ht="15.75" customHeight="1">
      <c r="A336" s="4" t="s">
        <v>377</v>
      </c>
      <c r="B336" s="4" t="s">
        <v>40</v>
      </c>
      <c r="C336" s="4" t="s">
        <v>38</v>
      </c>
      <c r="D336" s="5">
        <v>0.0</v>
      </c>
      <c r="E336" s="5">
        <v>0.5</v>
      </c>
      <c r="F336" s="5">
        <v>0.0</v>
      </c>
    </row>
    <row r="337" ht="15.75" customHeight="1">
      <c r="A337" s="4" t="s">
        <v>378</v>
      </c>
      <c r="B337" s="4" t="s">
        <v>40</v>
      </c>
      <c r="C337" s="4" t="s">
        <v>44</v>
      </c>
      <c r="D337" s="5">
        <v>1.0</v>
      </c>
      <c r="E337" s="5">
        <v>0.0</v>
      </c>
      <c r="F337" s="5">
        <v>0.0</v>
      </c>
    </row>
    <row r="338" ht="15.75" customHeight="1">
      <c r="A338" s="4" t="s">
        <v>379</v>
      </c>
      <c r="B338" s="4" t="s">
        <v>40</v>
      </c>
      <c r="C338" s="4" t="s">
        <v>44</v>
      </c>
      <c r="D338" s="5">
        <v>1.0</v>
      </c>
      <c r="E338" s="5">
        <v>0.0</v>
      </c>
      <c r="F338" s="5">
        <v>0.0</v>
      </c>
    </row>
    <row r="339" ht="15.75" customHeight="1">
      <c r="A339" s="4" t="s">
        <v>380</v>
      </c>
      <c r="B339" s="4" t="s">
        <v>40</v>
      </c>
      <c r="C339" s="4" t="s">
        <v>44</v>
      </c>
      <c r="D339" s="5">
        <v>1.0</v>
      </c>
      <c r="E339" s="5">
        <v>0.0</v>
      </c>
      <c r="F339" s="5">
        <v>0.0</v>
      </c>
    </row>
    <row r="340" ht="15.75" customHeight="1">
      <c r="A340" s="4" t="s">
        <v>381</v>
      </c>
      <c r="B340" s="4" t="s">
        <v>40</v>
      </c>
      <c r="C340" s="4" t="s">
        <v>44</v>
      </c>
      <c r="D340" s="5">
        <v>1.0</v>
      </c>
      <c r="E340" s="5">
        <v>0.0</v>
      </c>
      <c r="F340" s="5">
        <v>0.0</v>
      </c>
    </row>
    <row r="341" ht="15.75" customHeight="1">
      <c r="A341" s="4" t="s">
        <v>382</v>
      </c>
      <c r="B341" s="4" t="s">
        <v>40</v>
      </c>
      <c r="C341" s="4" t="s">
        <v>38</v>
      </c>
      <c r="D341" s="5">
        <v>0.0</v>
      </c>
      <c r="E341" s="5">
        <v>0.5</v>
      </c>
      <c r="F341" s="5">
        <v>0.0</v>
      </c>
    </row>
    <row r="342" ht="15.75" customHeight="1">
      <c r="A342" s="4" t="s">
        <v>383</v>
      </c>
      <c r="B342" s="4" t="s">
        <v>40</v>
      </c>
      <c r="C342" s="4" t="s">
        <v>44</v>
      </c>
      <c r="D342" s="5">
        <v>1.0</v>
      </c>
      <c r="E342" s="5">
        <v>0.0</v>
      </c>
      <c r="F342" s="5">
        <v>0.0</v>
      </c>
    </row>
    <row r="343" ht="15.75" customHeight="1">
      <c r="A343" s="4" t="s">
        <v>384</v>
      </c>
      <c r="B343" s="4" t="s">
        <v>40</v>
      </c>
      <c r="C343" s="4" t="s">
        <v>44</v>
      </c>
      <c r="D343" s="5">
        <v>1.0</v>
      </c>
      <c r="E343" s="5">
        <v>0.0</v>
      </c>
      <c r="F343" s="5">
        <v>0.0</v>
      </c>
    </row>
    <row r="344" ht="15.75" customHeight="1">
      <c r="A344" s="4" t="s">
        <v>385</v>
      </c>
      <c r="B344" s="4" t="s">
        <v>40</v>
      </c>
      <c r="C344" s="4" t="s">
        <v>38</v>
      </c>
      <c r="D344" s="5">
        <v>0.0</v>
      </c>
      <c r="E344" s="5">
        <v>1.0</v>
      </c>
      <c r="F344" s="5">
        <v>0.0</v>
      </c>
    </row>
    <row r="345" ht="15.75" customHeight="1">
      <c r="A345" s="4" t="s">
        <v>386</v>
      </c>
      <c r="B345" s="4" t="s">
        <v>40</v>
      </c>
      <c r="C345" s="4" t="s">
        <v>38</v>
      </c>
      <c r="D345" s="5">
        <v>0.0</v>
      </c>
      <c r="E345" s="5">
        <v>0.5</v>
      </c>
      <c r="F345" s="5">
        <v>0.0</v>
      </c>
    </row>
    <row r="346" ht="15.75" customHeight="1">
      <c r="A346" s="4" t="s">
        <v>387</v>
      </c>
      <c r="B346" s="4" t="s">
        <v>37</v>
      </c>
      <c r="C346" s="4" t="s">
        <v>38</v>
      </c>
      <c r="D346" s="5">
        <v>0.0</v>
      </c>
      <c r="E346" s="5">
        <v>1.0</v>
      </c>
      <c r="F346" s="5">
        <v>0.0</v>
      </c>
    </row>
    <row r="347" ht="15.75" customHeight="1">
      <c r="A347" s="4" t="s">
        <v>388</v>
      </c>
      <c r="B347" s="4" t="s">
        <v>157</v>
      </c>
      <c r="C347" s="4" t="s">
        <v>137</v>
      </c>
      <c r="D347" s="5">
        <v>0.0</v>
      </c>
      <c r="E347" s="5">
        <v>0.5</v>
      </c>
      <c r="F347" s="5">
        <v>0.5</v>
      </c>
    </row>
    <row r="348" ht="15.75" customHeight="1">
      <c r="A348" s="4" t="s">
        <v>389</v>
      </c>
      <c r="B348" s="4" t="s">
        <v>37</v>
      </c>
      <c r="C348" s="4" t="s">
        <v>38</v>
      </c>
      <c r="D348" s="5">
        <v>0.0</v>
      </c>
      <c r="E348" s="5">
        <v>0.33</v>
      </c>
      <c r="F348" s="5">
        <v>0.0</v>
      </c>
    </row>
    <row r="349" ht="15.75" customHeight="1">
      <c r="A349" s="4" t="s">
        <v>390</v>
      </c>
      <c r="B349" s="4" t="s">
        <v>40</v>
      </c>
      <c r="C349" s="4" t="s">
        <v>38</v>
      </c>
      <c r="D349" s="5">
        <v>0.0</v>
      </c>
      <c r="E349" s="5">
        <v>0.5</v>
      </c>
      <c r="F349" s="5">
        <v>0.0</v>
      </c>
    </row>
    <row r="350" ht="15.75" customHeight="1">
      <c r="A350" s="4" t="s">
        <v>391</v>
      </c>
      <c r="B350" s="4" t="s">
        <v>40</v>
      </c>
      <c r="C350" s="4" t="s">
        <v>128</v>
      </c>
      <c r="D350" s="5">
        <v>0.0</v>
      </c>
      <c r="E350" s="5">
        <v>0.0</v>
      </c>
      <c r="F350" s="5">
        <v>1.0</v>
      </c>
    </row>
    <row r="351" ht="15.75" customHeight="1">
      <c r="A351" s="4" t="s">
        <v>391</v>
      </c>
      <c r="B351" s="4" t="s">
        <v>40</v>
      </c>
      <c r="C351" s="4" t="s">
        <v>128</v>
      </c>
      <c r="D351" s="5">
        <v>0.0</v>
      </c>
      <c r="E351" s="5">
        <v>0.0</v>
      </c>
      <c r="F351" s="5">
        <v>1.0</v>
      </c>
    </row>
    <row r="352" ht="15.75" customHeight="1">
      <c r="A352" s="4" t="s">
        <v>392</v>
      </c>
      <c r="B352" s="4" t="s">
        <v>40</v>
      </c>
      <c r="C352" s="4" t="s">
        <v>128</v>
      </c>
      <c r="D352" s="5">
        <v>0.0</v>
      </c>
      <c r="E352" s="5">
        <v>0.0</v>
      </c>
      <c r="F352" s="5">
        <v>1.0</v>
      </c>
    </row>
    <row r="353" ht="15.75" customHeight="1">
      <c r="A353" s="4" t="s">
        <v>393</v>
      </c>
      <c r="B353" s="4" t="s">
        <v>40</v>
      </c>
      <c r="C353" s="4" t="s">
        <v>128</v>
      </c>
      <c r="D353" s="5">
        <v>0.0</v>
      </c>
      <c r="E353" s="5">
        <v>0.0</v>
      </c>
      <c r="F353" s="5">
        <v>1.0</v>
      </c>
    </row>
    <row r="354" ht="15.75" customHeight="1">
      <c r="A354" s="4" t="s">
        <v>394</v>
      </c>
      <c r="B354" s="4" t="s">
        <v>40</v>
      </c>
      <c r="C354" s="4" t="s">
        <v>128</v>
      </c>
      <c r="D354" s="5">
        <v>0.0</v>
      </c>
      <c r="E354" s="5">
        <v>0.0</v>
      </c>
      <c r="F354" s="5">
        <v>1.0</v>
      </c>
    </row>
    <row r="355" ht="15.75" customHeight="1">
      <c r="A355" s="4" t="s">
        <v>395</v>
      </c>
      <c r="B355" s="4" t="s">
        <v>40</v>
      </c>
      <c r="C355" s="4" t="s">
        <v>128</v>
      </c>
      <c r="D355" s="5">
        <v>0.0</v>
      </c>
      <c r="E355" s="5">
        <v>0.0</v>
      </c>
      <c r="F355" s="5">
        <v>1.0</v>
      </c>
    </row>
    <row r="356" ht="15.75" customHeight="1">
      <c r="A356" s="4" t="s">
        <v>396</v>
      </c>
      <c r="B356" s="4" t="s">
        <v>37</v>
      </c>
      <c r="C356" s="4" t="s">
        <v>38</v>
      </c>
      <c r="D356" s="5">
        <v>0.0</v>
      </c>
      <c r="E356" s="5">
        <v>1.0</v>
      </c>
      <c r="F356" s="5">
        <v>0.0</v>
      </c>
    </row>
    <row r="357" ht="15.75" customHeight="1">
      <c r="A357" s="4" t="s">
        <v>397</v>
      </c>
      <c r="B357" s="4" t="s">
        <v>157</v>
      </c>
      <c r="C357" s="4" t="s">
        <v>38</v>
      </c>
      <c r="D357" s="5">
        <v>0.0</v>
      </c>
      <c r="E357" s="5">
        <v>1.0</v>
      </c>
      <c r="F357" s="5">
        <v>0.0</v>
      </c>
    </row>
    <row r="358" ht="15.75" customHeight="1">
      <c r="A358" s="4" t="s">
        <v>398</v>
      </c>
      <c r="B358" s="4" t="s">
        <v>37</v>
      </c>
      <c r="C358" s="4" t="s">
        <v>38</v>
      </c>
      <c r="D358" s="5">
        <v>0.0</v>
      </c>
      <c r="E358" s="5">
        <v>0.6</v>
      </c>
      <c r="F358" s="5">
        <v>0.0</v>
      </c>
    </row>
    <row r="359" ht="15.75" customHeight="1">
      <c r="A359" s="4" t="s">
        <v>399</v>
      </c>
      <c r="B359" s="4" t="s">
        <v>40</v>
      </c>
      <c r="C359" s="4" t="s">
        <v>38</v>
      </c>
      <c r="D359" s="5">
        <v>0.0</v>
      </c>
      <c r="E359" s="5">
        <v>1.0</v>
      </c>
      <c r="F359" s="5">
        <v>0.0</v>
      </c>
    </row>
    <row r="360" ht="15.75" customHeight="1">
      <c r="A360" s="4" t="s">
        <v>400</v>
      </c>
      <c r="B360" s="4" t="s">
        <v>40</v>
      </c>
      <c r="C360" s="4" t="s">
        <v>38</v>
      </c>
      <c r="D360" s="5">
        <v>0.0</v>
      </c>
      <c r="E360" s="5">
        <v>0.5</v>
      </c>
      <c r="F360" s="5">
        <v>0.0</v>
      </c>
    </row>
    <row r="361" ht="15.75" customHeight="1">
      <c r="A361" s="4" t="s">
        <v>401</v>
      </c>
      <c r="B361" s="4" t="s">
        <v>40</v>
      </c>
      <c r="C361" s="4" t="s">
        <v>38</v>
      </c>
      <c r="D361" s="5">
        <v>0.0</v>
      </c>
      <c r="E361" s="5">
        <v>0.5</v>
      </c>
      <c r="F361" s="5">
        <v>0.0</v>
      </c>
    </row>
    <row r="362" ht="15.75" customHeight="1">
      <c r="A362" s="4" t="s">
        <v>402</v>
      </c>
      <c r="B362" s="4" t="s">
        <v>37</v>
      </c>
      <c r="C362" s="4" t="s">
        <v>38</v>
      </c>
      <c r="D362" s="5">
        <v>0.0</v>
      </c>
      <c r="E362" s="5">
        <v>1.0</v>
      </c>
      <c r="F362" s="5">
        <v>0.0</v>
      </c>
    </row>
    <row r="363" ht="15.75" customHeight="1">
      <c r="A363" s="4" t="s">
        <v>403</v>
      </c>
      <c r="B363" s="4" t="s">
        <v>40</v>
      </c>
      <c r="C363" s="4" t="s">
        <v>38</v>
      </c>
      <c r="D363" s="5">
        <v>0.0</v>
      </c>
      <c r="E363" s="5">
        <v>1.0</v>
      </c>
      <c r="F363" s="5">
        <v>0.0</v>
      </c>
    </row>
    <row r="364" ht="15.75" customHeight="1">
      <c r="A364" s="4" t="s">
        <v>404</v>
      </c>
      <c r="B364" s="4" t="s">
        <v>37</v>
      </c>
      <c r="C364" s="4" t="s">
        <v>38</v>
      </c>
      <c r="D364" s="5">
        <v>0.0</v>
      </c>
      <c r="E364" s="5">
        <v>0.5</v>
      </c>
      <c r="F364" s="5">
        <v>0.0</v>
      </c>
    </row>
    <row r="365" ht="15.75" customHeight="1">
      <c r="A365" s="4" t="s">
        <v>405</v>
      </c>
      <c r="B365" s="4" t="s">
        <v>40</v>
      </c>
      <c r="C365" s="4" t="s">
        <v>38</v>
      </c>
      <c r="D365" s="5">
        <v>0.0</v>
      </c>
      <c r="E365" s="5">
        <v>1.0</v>
      </c>
      <c r="F365" s="5">
        <v>0.0</v>
      </c>
    </row>
    <row r="366" ht="15.75" customHeight="1">
      <c r="A366" s="4" t="s">
        <v>406</v>
      </c>
      <c r="B366" s="4" t="s">
        <v>37</v>
      </c>
      <c r="C366" s="4" t="s">
        <v>38</v>
      </c>
      <c r="D366" s="5">
        <v>0.0</v>
      </c>
      <c r="E366" s="5">
        <v>0.5</v>
      </c>
      <c r="F366" s="5">
        <v>0.0</v>
      </c>
    </row>
    <row r="367" ht="15.75" customHeight="1">
      <c r="A367" s="4" t="s">
        <v>407</v>
      </c>
      <c r="B367" s="4" t="s">
        <v>40</v>
      </c>
      <c r="C367" s="4" t="s">
        <v>38</v>
      </c>
      <c r="D367" s="5">
        <v>0.0</v>
      </c>
      <c r="E367" s="5">
        <v>0.5</v>
      </c>
      <c r="F367" s="5">
        <v>0.0</v>
      </c>
    </row>
    <row r="368" ht="15.75" customHeight="1">
      <c r="A368" s="4" t="s">
        <v>408</v>
      </c>
      <c r="B368" s="4" t="s">
        <v>40</v>
      </c>
      <c r="C368" s="4" t="s">
        <v>38</v>
      </c>
      <c r="D368" s="5">
        <v>0.0</v>
      </c>
      <c r="E368" s="5">
        <v>0.5</v>
      </c>
      <c r="F368" s="5">
        <v>0.0</v>
      </c>
    </row>
    <row r="369" ht="15.75" customHeight="1">
      <c r="A369" s="4" t="s">
        <v>409</v>
      </c>
      <c r="B369" s="4" t="s">
        <v>37</v>
      </c>
      <c r="C369" s="4" t="s">
        <v>38</v>
      </c>
      <c r="D369" s="5">
        <v>0.0</v>
      </c>
      <c r="E369" s="5">
        <v>1.0</v>
      </c>
      <c r="F369" s="5">
        <v>0.0</v>
      </c>
    </row>
    <row r="370" ht="15.75" customHeight="1">
      <c r="A370" s="4" t="s">
        <v>410</v>
      </c>
      <c r="B370" s="4" t="s">
        <v>37</v>
      </c>
      <c r="C370" s="4" t="s">
        <v>38</v>
      </c>
      <c r="D370" s="5">
        <v>0.0</v>
      </c>
      <c r="E370" s="5">
        <v>1.0</v>
      </c>
      <c r="F370" s="5">
        <v>0.0</v>
      </c>
    </row>
    <row r="371" ht="15.75" customHeight="1">
      <c r="A371" s="4" t="s">
        <v>411</v>
      </c>
      <c r="B371" s="4" t="s">
        <v>40</v>
      </c>
      <c r="C371" s="4" t="s">
        <v>38</v>
      </c>
      <c r="D371" s="5">
        <v>0.0</v>
      </c>
      <c r="E371" s="5">
        <v>1.0</v>
      </c>
      <c r="F371" s="5">
        <v>0.0</v>
      </c>
    </row>
    <row r="372" ht="15.75" customHeight="1">
      <c r="A372" s="4" t="s">
        <v>412</v>
      </c>
      <c r="B372" s="4" t="s">
        <v>40</v>
      </c>
      <c r="C372" s="4" t="s">
        <v>38</v>
      </c>
      <c r="D372" s="5">
        <v>0.0</v>
      </c>
      <c r="E372" s="5">
        <v>1.0</v>
      </c>
      <c r="F372" s="5">
        <v>0.0</v>
      </c>
    </row>
    <row r="373" ht="15.75" customHeight="1">
      <c r="A373" s="4" t="s">
        <v>413</v>
      </c>
      <c r="B373" s="4" t="s">
        <v>37</v>
      </c>
      <c r="C373" s="4" t="s">
        <v>38</v>
      </c>
      <c r="D373" s="5">
        <v>0.0</v>
      </c>
      <c r="E373" s="5">
        <v>1.0</v>
      </c>
      <c r="F373" s="5">
        <v>0.0</v>
      </c>
    </row>
    <row r="374" ht="15.75" customHeight="1">
      <c r="A374" s="4" t="s">
        <v>414</v>
      </c>
      <c r="B374" s="4" t="s">
        <v>40</v>
      </c>
      <c r="C374" s="4" t="s">
        <v>38</v>
      </c>
      <c r="D374" s="5">
        <v>0.0</v>
      </c>
      <c r="E374" s="5">
        <v>1.0</v>
      </c>
      <c r="F374" s="5">
        <v>0.0</v>
      </c>
    </row>
    <row r="375" ht="15.75" customHeight="1">
      <c r="A375" s="4" t="s">
        <v>415</v>
      </c>
      <c r="B375" s="4" t="s">
        <v>40</v>
      </c>
      <c r="C375" s="4" t="s">
        <v>38</v>
      </c>
      <c r="D375" s="5">
        <v>0.0</v>
      </c>
      <c r="E375" s="5">
        <v>1.0</v>
      </c>
      <c r="F375" s="5">
        <v>0.0</v>
      </c>
    </row>
    <row r="376" ht="15.75" customHeight="1">
      <c r="A376" s="4" t="s">
        <v>416</v>
      </c>
      <c r="B376" s="4" t="s">
        <v>37</v>
      </c>
      <c r="C376" s="4" t="s">
        <v>38</v>
      </c>
      <c r="D376" s="5">
        <v>0.0</v>
      </c>
      <c r="E376" s="5">
        <v>0.25</v>
      </c>
      <c r="F376" s="5">
        <v>0.0</v>
      </c>
    </row>
    <row r="377" ht="15.75" customHeight="1">
      <c r="A377" s="4" t="s">
        <v>417</v>
      </c>
      <c r="B377" s="4" t="s">
        <v>40</v>
      </c>
      <c r="C377" s="4" t="s">
        <v>38</v>
      </c>
      <c r="D377" s="5">
        <v>0.0</v>
      </c>
      <c r="E377" s="5">
        <v>0.5</v>
      </c>
      <c r="F377" s="5">
        <v>0.0</v>
      </c>
    </row>
    <row r="378" ht="15.75" customHeight="1">
      <c r="A378" s="4" t="s">
        <v>418</v>
      </c>
      <c r="B378" s="4" t="s">
        <v>40</v>
      </c>
      <c r="C378" s="4" t="s">
        <v>38</v>
      </c>
      <c r="D378" s="5">
        <v>0.0</v>
      </c>
      <c r="E378" s="5">
        <v>0.5</v>
      </c>
      <c r="F378" s="5">
        <v>0.0</v>
      </c>
    </row>
    <row r="379" ht="15.75" customHeight="1">
      <c r="A379" s="4" t="s">
        <v>419</v>
      </c>
      <c r="B379" s="4" t="s">
        <v>40</v>
      </c>
      <c r="C379" s="4" t="s">
        <v>38</v>
      </c>
      <c r="D379" s="5">
        <v>0.0</v>
      </c>
      <c r="E379" s="5">
        <v>1.0</v>
      </c>
      <c r="F379" s="5">
        <v>0.0</v>
      </c>
    </row>
    <row r="380" ht="15.75" customHeight="1">
      <c r="A380" s="4" t="s">
        <v>420</v>
      </c>
      <c r="B380" s="4" t="s">
        <v>40</v>
      </c>
      <c r="C380" s="4" t="s">
        <v>38</v>
      </c>
      <c r="D380" s="5">
        <v>0.0</v>
      </c>
      <c r="E380" s="5">
        <v>0.5</v>
      </c>
      <c r="F380" s="5">
        <v>0.0</v>
      </c>
    </row>
    <row r="381" ht="15.75" customHeight="1">
      <c r="A381" s="4" t="s">
        <v>421</v>
      </c>
      <c r="B381" s="4" t="s">
        <v>37</v>
      </c>
      <c r="C381" s="4" t="s">
        <v>38</v>
      </c>
      <c r="D381" s="5">
        <v>0.0</v>
      </c>
      <c r="E381" s="5">
        <v>1.0</v>
      </c>
      <c r="F381" s="5">
        <v>0.0</v>
      </c>
    </row>
    <row r="382" ht="15.75" customHeight="1">
      <c r="A382" s="4" t="s">
        <v>422</v>
      </c>
      <c r="B382" s="4" t="s">
        <v>40</v>
      </c>
      <c r="C382" s="4" t="s">
        <v>38</v>
      </c>
      <c r="D382" s="5">
        <v>0.0</v>
      </c>
      <c r="E382" s="5">
        <v>1.0</v>
      </c>
      <c r="F382" s="5">
        <v>0.0</v>
      </c>
    </row>
    <row r="383" ht="15.75" customHeight="1">
      <c r="A383" s="4" t="s">
        <v>423</v>
      </c>
      <c r="B383" s="4" t="s">
        <v>37</v>
      </c>
      <c r="C383" s="4" t="s">
        <v>38</v>
      </c>
      <c r="D383" s="5">
        <v>0.0</v>
      </c>
      <c r="E383" s="5">
        <v>1.0</v>
      </c>
      <c r="F383" s="5">
        <v>0.0</v>
      </c>
    </row>
    <row r="384" ht="15.75" customHeight="1">
      <c r="A384" s="4" t="s">
        <v>424</v>
      </c>
      <c r="B384" s="4" t="s">
        <v>40</v>
      </c>
      <c r="C384" s="4" t="s">
        <v>38</v>
      </c>
      <c r="D384" s="5">
        <v>0.0</v>
      </c>
      <c r="E384" s="5">
        <v>1.0</v>
      </c>
      <c r="F384" s="5">
        <v>0.0</v>
      </c>
    </row>
    <row r="385" ht="15.75" customHeight="1">
      <c r="A385" s="4" t="s">
        <v>425</v>
      </c>
      <c r="B385" s="4" t="s">
        <v>40</v>
      </c>
      <c r="C385" s="4" t="s">
        <v>38</v>
      </c>
      <c r="D385" s="5">
        <v>0.0</v>
      </c>
      <c r="E385" s="5">
        <v>1.0</v>
      </c>
      <c r="F385" s="5">
        <v>0.0</v>
      </c>
    </row>
    <row r="386" ht="15.75" customHeight="1">
      <c r="A386" s="4" t="s">
        <v>426</v>
      </c>
      <c r="B386" s="4" t="s">
        <v>40</v>
      </c>
      <c r="C386" s="4" t="s">
        <v>38</v>
      </c>
      <c r="D386" s="5">
        <v>0.0</v>
      </c>
      <c r="E386" s="5">
        <v>1.0</v>
      </c>
      <c r="F386" s="5">
        <v>0.0</v>
      </c>
    </row>
    <row r="387" ht="15.75" customHeight="1">
      <c r="A387" s="4" t="s">
        <v>427</v>
      </c>
      <c r="B387" s="4" t="s">
        <v>40</v>
      </c>
      <c r="C387" s="4" t="s">
        <v>38</v>
      </c>
      <c r="D387" s="5">
        <v>0.0</v>
      </c>
      <c r="E387" s="5">
        <v>1.0</v>
      </c>
      <c r="F387" s="5">
        <v>0.0</v>
      </c>
    </row>
    <row r="388" ht="15.75" customHeight="1">
      <c r="A388" s="4" t="s">
        <v>428</v>
      </c>
      <c r="B388" s="4" t="s">
        <v>40</v>
      </c>
      <c r="C388" s="4" t="s">
        <v>38</v>
      </c>
      <c r="D388" s="5">
        <v>0.0</v>
      </c>
      <c r="E388" s="5">
        <v>1.0</v>
      </c>
      <c r="F388" s="5">
        <v>0.0</v>
      </c>
    </row>
    <row r="389" ht="15.75" customHeight="1">
      <c r="A389" s="4" t="s">
        <v>429</v>
      </c>
      <c r="B389" s="4" t="s">
        <v>40</v>
      </c>
      <c r="C389" s="4" t="s">
        <v>38</v>
      </c>
      <c r="D389" s="5">
        <v>0.0</v>
      </c>
      <c r="E389" s="5">
        <v>1.0</v>
      </c>
      <c r="F389" s="5">
        <v>0.0</v>
      </c>
    </row>
    <row r="390" ht="15.75" customHeight="1">
      <c r="A390" s="4" t="s">
        <v>430</v>
      </c>
      <c r="B390" s="4" t="s">
        <v>40</v>
      </c>
      <c r="C390" s="4" t="s">
        <v>38</v>
      </c>
      <c r="D390" s="5">
        <v>0.0</v>
      </c>
      <c r="E390" s="5">
        <v>1.0</v>
      </c>
      <c r="F390" s="5">
        <v>0.0</v>
      </c>
    </row>
    <row r="391" ht="15.75" customHeight="1">
      <c r="A391" s="4" t="s">
        <v>431</v>
      </c>
      <c r="B391" s="4" t="s">
        <v>40</v>
      </c>
      <c r="C391" s="4" t="s">
        <v>38</v>
      </c>
      <c r="D391" s="5">
        <v>0.0</v>
      </c>
      <c r="E391" s="5">
        <v>1.0</v>
      </c>
      <c r="F391" s="5">
        <v>0.0</v>
      </c>
    </row>
    <row r="392" ht="15.75" customHeight="1">
      <c r="A392" s="4" t="s">
        <v>432</v>
      </c>
      <c r="B392" s="4" t="s">
        <v>40</v>
      </c>
      <c r="C392" s="4" t="s">
        <v>38</v>
      </c>
      <c r="D392" s="5">
        <v>0.0</v>
      </c>
      <c r="E392" s="5">
        <v>1.0</v>
      </c>
      <c r="F392" s="5">
        <v>0.0</v>
      </c>
    </row>
    <row r="393" ht="15.75" customHeight="1">
      <c r="A393" s="4" t="s">
        <v>433</v>
      </c>
      <c r="B393" s="4" t="s">
        <v>37</v>
      </c>
      <c r="C393" s="4" t="s">
        <v>38</v>
      </c>
      <c r="D393" s="5">
        <v>0.0</v>
      </c>
      <c r="E393" s="5">
        <v>1.0</v>
      </c>
      <c r="F393" s="5">
        <v>0.0</v>
      </c>
    </row>
    <row r="394" ht="15.75" customHeight="1">
      <c r="A394" s="4" t="s">
        <v>434</v>
      </c>
      <c r="B394" s="4" t="s">
        <v>40</v>
      </c>
      <c r="C394" s="4" t="s">
        <v>38</v>
      </c>
      <c r="D394" s="5">
        <v>0.0</v>
      </c>
      <c r="E394" s="5">
        <v>1.0</v>
      </c>
      <c r="F394" s="5">
        <v>0.0</v>
      </c>
    </row>
    <row r="395" ht="15.75" customHeight="1">
      <c r="A395" s="4" t="s">
        <v>435</v>
      </c>
      <c r="B395" s="4" t="s">
        <v>37</v>
      </c>
      <c r="C395" s="4" t="s">
        <v>38</v>
      </c>
      <c r="D395" s="5">
        <v>0.0</v>
      </c>
      <c r="E395" s="5">
        <v>1.0</v>
      </c>
      <c r="F395" s="5">
        <v>0.0</v>
      </c>
    </row>
    <row r="396" ht="15.75" customHeight="1">
      <c r="A396" s="4" t="s">
        <v>436</v>
      </c>
      <c r="B396" s="4" t="s">
        <v>40</v>
      </c>
      <c r="C396" s="4" t="s">
        <v>38</v>
      </c>
      <c r="D396" s="5">
        <v>0.0</v>
      </c>
      <c r="E396" s="5">
        <v>1.0</v>
      </c>
      <c r="F396" s="5">
        <v>0.0</v>
      </c>
    </row>
    <row r="397" ht="15.75" customHeight="1">
      <c r="A397" s="4" t="s">
        <v>437</v>
      </c>
      <c r="B397" s="4" t="s">
        <v>37</v>
      </c>
      <c r="C397" s="4" t="s">
        <v>38</v>
      </c>
      <c r="D397" s="5">
        <v>0.0</v>
      </c>
      <c r="E397" s="5">
        <v>1.0</v>
      </c>
      <c r="F397" s="5">
        <v>0.0</v>
      </c>
    </row>
    <row r="398" ht="15.75" customHeight="1">
      <c r="A398" s="4" t="s">
        <v>438</v>
      </c>
      <c r="B398" s="4" t="s">
        <v>40</v>
      </c>
      <c r="C398" s="4" t="s">
        <v>38</v>
      </c>
      <c r="D398" s="5">
        <v>0.0</v>
      </c>
      <c r="E398" s="5">
        <v>1.0</v>
      </c>
      <c r="F398" s="5">
        <v>0.0</v>
      </c>
    </row>
    <row r="399" ht="15.75" customHeight="1">
      <c r="A399" s="4" t="s">
        <v>439</v>
      </c>
      <c r="B399" s="4" t="s">
        <v>40</v>
      </c>
      <c r="C399" s="4" t="s">
        <v>38</v>
      </c>
      <c r="D399" s="5">
        <v>0.0</v>
      </c>
      <c r="E399" s="5">
        <v>1.0</v>
      </c>
      <c r="F399" s="5">
        <v>0.0</v>
      </c>
    </row>
    <row r="400" ht="15.75" customHeight="1">
      <c r="A400" s="4" t="s">
        <v>440</v>
      </c>
      <c r="B400" s="4" t="s">
        <v>37</v>
      </c>
      <c r="C400" s="4" t="s">
        <v>441</v>
      </c>
      <c r="D400" s="5">
        <v>0.36</v>
      </c>
      <c r="E400" s="5">
        <v>0.0</v>
      </c>
      <c r="F400" s="5">
        <v>0.09</v>
      </c>
    </row>
    <row r="401" ht="15.75" customHeight="1">
      <c r="A401" s="4" t="s">
        <v>442</v>
      </c>
      <c r="B401" s="4" t="s">
        <v>40</v>
      </c>
      <c r="C401" s="4" t="s">
        <v>128</v>
      </c>
      <c r="D401" s="5">
        <v>0.0</v>
      </c>
      <c r="E401" s="5">
        <v>0.0</v>
      </c>
      <c r="F401" s="5">
        <v>1.0</v>
      </c>
    </row>
    <row r="402" ht="15.75" customHeight="1">
      <c r="A402" s="4" t="s">
        <v>443</v>
      </c>
      <c r="B402" s="4" t="s">
        <v>40</v>
      </c>
      <c r="C402" s="4" t="s">
        <v>44</v>
      </c>
      <c r="D402" s="5">
        <v>1.0</v>
      </c>
      <c r="E402" s="5">
        <v>0.0</v>
      </c>
      <c r="F402" s="5">
        <v>0.0</v>
      </c>
    </row>
    <row r="403" ht="15.75" customHeight="1">
      <c r="A403" s="4" t="s">
        <v>444</v>
      </c>
      <c r="B403" s="4" t="s">
        <v>40</v>
      </c>
      <c r="C403" s="4" t="s">
        <v>44</v>
      </c>
      <c r="D403" s="5">
        <v>0.5</v>
      </c>
      <c r="E403" s="5">
        <v>0.0</v>
      </c>
      <c r="F403" s="5">
        <v>0.0</v>
      </c>
    </row>
    <row r="404" ht="15.75" customHeight="1">
      <c r="A404" s="4" t="s">
        <v>445</v>
      </c>
      <c r="B404" s="4" t="s">
        <v>40</v>
      </c>
      <c r="C404" s="4" t="s">
        <v>44</v>
      </c>
      <c r="D404" s="5">
        <v>0.5</v>
      </c>
      <c r="E404" s="5">
        <v>0.0</v>
      </c>
      <c r="F404" s="5">
        <v>0.0</v>
      </c>
    </row>
    <row r="405" ht="15.75" customHeight="1">
      <c r="A405" s="4" t="s">
        <v>446</v>
      </c>
      <c r="B405" s="4" t="s">
        <v>40</v>
      </c>
      <c r="C405" s="4" t="s">
        <v>44</v>
      </c>
      <c r="D405" s="5">
        <v>0.5</v>
      </c>
      <c r="E405" s="5">
        <v>0.0</v>
      </c>
      <c r="F405" s="5">
        <v>0.0</v>
      </c>
    </row>
    <row r="406" ht="15.75" customHeight="1">
      <c r="A406" s="4" t="s">
        <v>447</v>
      </c>
      <c r="B406" s="4" t="s">
        <v>157</v>
      </c>
      <c r="C406" s="4" t="s">
        <v>441</v>
      </c>
      <c r="D406" s="5">
        <v>0.36</v>
      </c>
      <c r="E406" s="5">
        <v>0.0</v>
      </c>
      <c r="F406" s="5">
        <v>0.09</v>
      </c>
    </row>
    <row r="407" ht="15.75" customHeight="1">
      <c r="A407" s="4" t="s">
        <v>448</v>
      </c>
      <c r="B407" s="4" t="s">
        <v>37</v>
      </c>
      <c r="C407" s="4" t="s">
        <v>449</v>
      </c>
      <c r="D407" s="5">
        <v>0.03</v>
      </c>
      <c r="E407" s="5">
        <v>0.4</v>
      </c>
      <c r="F407" s="5">
        <v>0.58</v>
      </c>
    </row>
    <row r="408" ht="15.75" customHeight="1">
      <c r="A408" s="4" t="s">
        <v>450</v>
      </c>
      <c r="B408" s="4" t="s">
        <v>451</v>
      </c>
      <c r="C408" s="4" t="s">
        <v>38</v>
      </c>
      <c r="D408" s="5">
        <v>0.0</v>
      </c>
      <c r="E408" s="5">
        <v>1.0</v>
      </c>
      <c r="F408" s="5">
        <v>0.0</v>
      </c>
    </row>
    <row r="409" ht="15.75" customHeight="1">
      <c r="A409" s="4" t="s">
        <v>452</v>
      </c>
      <c r="B409" s="4" t="s">
        <v>451</v>
      </c>
      <c r="C409" s="4" t="s">
        <v>128</v>
      </c>
      <c r="D409" s="5">
        <v>0.0</v>
      </c>
      <c r="E409" s="5">
        <v>0.0</v>
      </c>
      <c r="F409" s="5">
        <v>1.0</v>
      </c>
    </row>
    <row r="410" ht="15.75" customHeight="1">
      <c r="A410" s="4" t="s">
        <v>453</v>
      </c>
      <c r="B410" s="4" t="s">
        <v>40</v>
      </c>
      <c r="C410" s="4" t="s">
        <v>38</v>
      </c>
      <c r="D410" s="5">
        <v>0.0</v>
      </c>
      <c r="E410" s="5">
        <v>1.0</v>
      </c>
      <c r="F410" s="5">
        <v>0.0</v>
      </c>
    </row>
    <row r="411" ht="15.75" customHeight="1">
      <c r="A411" s="4" t="s">
        <v>454</v>
      </c>
      <c r="B411" s="4" t="s">
        <v>40</v>
      </c>
      <c r="C411" s="4" t="s">
        <v>38</v>
      </c>
      <c r="D411" s="5">
        <v>0.0</v>
      </c>
      <c r="E411" s="5">
        <v>1.0</v>
      </c>
      <c r="F411" s="5">
        <v>0.0</v>
      </c>
    </row>
    <row r="412" ht="15.75" customHeight="1">
      <c r="A412" s="4" t="s">
        <v>455</v>
      </c>
      <c r="B412" s="4" t="s">
        <v>40</v>
      </c>
      <c r="C412" s="4" t="s">
        <v>128</v>
      </c>
      <c r="D412" s="5">
        <v>0.0</v>
      </c>
      <c r="E412" s="5">
        <v>0.0</v>
      </c>
      <c r="F412" s="5">
        <v>1.0</v>
      </c>
    </row>
    <row r="413" ht="15.75" customHeight="1">
      <c r="A413" s="4" t="s">
        <v>456</v>
      </c>
      <c r="B413" s="4" t="s">
        <v>40</v>
      </c>
      <c r="C413" s="4" t="s">
        <v>128</v>
      </c>
      <c r="D413" s="5">
        <v>0.0</v>
      </c>
      <c r="E413" s="5">
        <v>0.0</v>
      </c>
      <c r="F413" s="5">
        <v>1.0</v>
      </c>
    </row>
    <row r="414" ht="15.75" customHeight="1">
      <c r="A414" s="4" t="s">
        <v>457</v>
      </c>
      <c r="B414" s="4" t="s">
        <v>40</v>
      </c>
      <c r="C414" s="4" t="s">
        <v>38</v>
      </c>
      <c r="D414" s="5">
        <v>0.0</v>
      </c>
      <c r="E414" s="5">
        <v>1.0</v>
      </c>
      <c r="F414" s="5">
        <v>0.0</v>
      </c>
    </row>
    <row r="415" ht="15.75" customHeight="1">
      <c r="A415" s="4" t="s">
        <v>458</v>
      </c>
      <c r="B415" s="4" t="s">
        <v>40</v>
      </c>
      <c r="C415" s="4" t="s">
        <v>128</v>
      </c>
      <c r="D415" s="5">
        <v>0.0</v>
      </c>
      <c r="E415" s="5">
        <v>0.0</v>
      </c>
      <c r="F415" s="5">
        <v>1.0</v>
      </c>
    </row>
    <row r="416" ht="15.75" customHeight="1">
      <c r="A416" s="4" t="s">
        <v>459</v>
      </c>
      <c r="B416" s="4" t="s">
        <v>40</v>
      </c>
      <c r="C416" s="4" t="s">
        <v>137</v>
      </c>
      <c r="D416" s="5">
        <v>0.0</v>
      </c>
      <c r="E416" s="5">
        <v>0.5</v>
      </c>
      <c r="F416" s="5">
        <v>0.5</v>
      </c>
    </row>
    <row r="417" ht="15.75" customHeight="1">
      <c r="A417" s="4" t="s">
        <v>460</v>
      </c>
      <c r="B417" s="4" t="s">
        <v>40</v>
      </c>
      <c r="C417" s="4" t="s">
        <v>128</v>
      </c>
      <c r="D417" s="5">
        <v>0.0</v>
      </c>
      <c r="E417" s="5">
        <v>0.0</v>
      </c>
      <c r="F417" s="5">
        <v>1.0</v>
      </c>
    </row>
    <row r="418" ht="15.75" customHeight="1">
      <c r="A418" s="4" t="s">
        <v>461</v>
      </c>
      <c r="B418" s="4" t="s">
        <v>40</v>
      </c>
      <c r="C418" s="4" t="s">
        <v>441</v>
      </c>
      <c r="D418" s="5">
        <v>0.5</v>
      </c>
      <c r="E418" s="5">
        <v>0.0</v>
      </c>
      <c r="F418" s="5">
        <v>0.5</v>
      </c>
    </row>
    <row r="419" ht="15.75" customHeight="1">
      <c r="A419" s="4" t="s">
        <v>462</v>
      </c>
      <c r="B419" s="4" t="s">
        <v>40</v>
      </c>
      <c r="C419" s="4" t="s">
        <v>128</v>
      </c>
      <c r="D419" s="5">
        <v>0.0</v>
      </c>
      <c r="E419" s="5">
        <v>0.0</v>
      </c>
      <c r="F419" s="5">
        <v>1.0</v>
      </c>
    </row>
    <row r="420" ht="15.75" customHeight="1">
      <c r="A420" s="4" t="s">
        <v>463</v>
      </c>
      <c r="B420" s="4" t="s">
        <v>40</v>
      </c>
      <c r="C420" s="4" t="s">
        <v>128</v>
      </c>
      <c r="D420" s="5">
        <v>0.0</v>
      </c>
      <c r="E420" s="5">
        <v>0.0</v>
      </c>
      <c r="F420" s="5">
        <v>1.0</v>
      </c>
    </row>
    <row r="421" ht="15.75" customHeight="1">
      <c r="A421" s="4" t="s">
        <v>464</v>
      </c>
      <c r="B421" s="4" t="s">
        <v>40</v>
      </c>
      <c r="C421" s="4" t="s">
        <v>137</v>
      </c>
      <c r="D421" s="5">
        <v>0.0</v>
      </c>
      <c r="E421" s="5">
        <v>0.5</v>
      </c>
      <c r="F421" s="5">
        <v>0.5</v>
      </c>
    </row>
    <row r="422" ht="15.75" customHeight="1">
      <c r="A422" s="4" t="s">
        <v>465</v>
      </c>
      <c r="B422" s="4" t="s">
        <v>40</v>
      </c>
      <c r="C422" s="4" t="s">
        <v>128</v>
      </c>
      <c r="D422" s="5">
        <v>0.0</v>
      </c>
      <c r="E422" s="5">
        <v>0.0</v>
      </c>
      <c r="F422" s="5">
        <v>1.0</v>
      </c>
    </row>
    <row r="423" ht="15.75" customHeight="1">
      <c r="A423" s="4" t="s">
        <v>466</v>
      </c>
      <c r="B423" s="4" t="s">
        <v>40</v>
      </c>
      <c r="C423" s="4" t="s">
        <v>38</v>
      </c>
      <c r="D423" s="5">
        <v>0.0</v>
      </c>
      <c r="E423" s="5">
        <v>1.0</v>
      </c>
      <c r="F423" s="5">
        <v>0.0</v>
      </c>
    </row>
    <row r="424" ht="15.75" customHeight="1">
      <c r="A424" s="4" t="s">
        <v>467</v>
      </c>
      <c r="B424" s="4" t="s">
        <v>40</v>
      </c>
      <c r="C424" s="4" t="s">
        <v>128</v>
      </c>
      <c r="D424" s="5">
        <v>0.0</v>
      </c>
      <c r="E424" s="5">
        <v>0.0</v>
      </c>
      <c r="F424" s="5">
        <v>1.0</v>
      </c>
    </row>
    <row r="425" ht="15.75" customHeight="1">
      <c r="A425" s="4" t="s">
        <v>468</v>
      </c>
      <c r="B425" s="4" t="s">
        <v>40</v>
      </c>
      <c r="C425" s="4" t="s">
        <v>128</v>
      </c>
      <c r="D425" s="5">
        <v>0.0</v>
      </c>
      <c r="E425" s="5">
        <v>0.0</v>
      </c>
      <c r="F425" s="5">
        <v>1.0</v>
      </c>
    </row>
    <row r="426" ht="15.75" customHeight="1">
      <c r="A426" s="4" t="s">
        <v>469</v>
      </c>
      <c r="B426" s="4" t="s">
        <v>40</v>
      </c>
      <c r="C426" s="4" t="s">
        <v>137</v>
      </c>
      <c r="D426" s="5">
        <v>0.0</v>
      </c>
      <c r="E426" s="5">
        <v>0.5</v>
      </c>
      <c r="F426" s="5">
        <v>0.5</v>
      </c>
    </row>
    <row r="427" ht="15.75" customHeight="1">
      <c r="A427" s="4" t="s">
        <v>470</v>
      </c>
      <c r="B427" s="4" t="s">
        <v>40</v>
      </c>
      <c r="C427" s="4" t="s">
        <v>137</v>
      </c>
      <c r="D427" s="5">
        <v>0.0</v>
      </c>
      <c r="E427" s="5">
        <v>0.5</v>
      </c>
      <c r="F427" s="5">
        <v>0.5</v>
      </c>
    </row>
    <row r="428" ht="15.75" customHeight="1">
      <c r="A428" s="4" t="s">
        <v>471</v>
      </c>
      <c r="B428" s="4" t="s">
        <v>40</v>
      </c>
      <c r="C428" s="4" t="s">
        <v>137</v>
      </c>
      <c r="D428" s="5">
        <v>0.0</v>
      </c>
      <c r="E428" s="5">
        <v>0.5</v>
      </c>
      <c r="F428" s="5">
        <v>0.5</v>
      </c>
    </row>
    <row r="429" ht="15.75" customHeight="1">
      <c r="A429" s="4" t="s">
        <v>472</v>
      </c>
      <c r="B429" s="4" t="s">
        <v>40</v>
      </c>
      <c r="C429" s="4" t="s">
        <v>38</v>
      </c>
      <c r="D429" s="5">
        <v>0.0</v>
      </c>
      <c r="E429" s="5">
        <v>1.0</v>
      </c>
      <c r="F429" s="5">
        <v>0.0</v>
      </c>
    </row>
    <row r="430" ht="15.75" customHeight="1">
      <c r="A430" s="4" t="s">
        <v>473</v>
      </c>
      <c r="B430" s="4" t="s">
        <v>40</v>
      </c>
      <c r="C430" s="4" t="s">
        <v>137</v>
      </c>
      <c r="D430" s="5">
        <v>0.0</v>
      </c>
      <c r="E430" s="5">
        <v>0.5</v>
      </c>
      <c r="F430" s="5">
        <v>0.5</v>
      </c>
    </row>
    <row r="431" ht="15.75" customHeight="1">
      <c r="A431" s="4" t="s">
        <v>474</v>
      </c>
      <c r="B431" s="4" t="s">
        <v>40</v>
      </c>
      <c r="C431" s="4" t="s">
        <v>128</v>
      </c>
      <c r="D431" s="5">
        <v>0.0</v>
      </c>
      <c r="E431" s="5">
        <v>0.0</v>
      </c>
      <c r="F431" s="5">
        <v>1.0</v>
      </c>
    </row>
    <row r="432" ht="15.75" customHeight="1">
      <c r="A432" s="4" t="s">
        <v>475</v>
      </c>
      <c r="B432" s="4" t="s">
        <v>40</v>
      </c>
      <c r="C432" s="4" t="s">
        <v>38</v>
      </c>
      <c r="D432" s="5">
        <v>0.0</v>
      </c>
      <c r="E432" s="5">
        <v>1.0</v>
      </c>
      <c r="F432" s="5">
        <v>0.0</v>
      </c>
    </row>
    <row r="433" ht="15.75" customHeight="1">
      <c r="A433" s="4" t="s">
        <v>476</v>
      </c>
      <c r="B433" s="4" t="s">
        <v>40</v>
      </c>
      <c r="C433" s="4" t="s">
        <v>128</v>
      </c>
      <c r="D433" s="5">
        <v>0.0</v>
      </c>
      <c r="E433" s="5">
        <v>0.0</v>
      </c>
      <c r="F433" s="5">
        <v>1.0</v>
      </c>
    </row>
    <row r="434" ht="15.75" customHeight="1">
      <c r="A434" s="4" t="s">
        <v>477</v>
      </c>
      <c r="B434" s="4" t="s">
        <v>40</v>
      </c>
      <c r="C434" s="4" t="s">
        <v>128</v>
      </c>
      <c r="D434" s="5">
        <v>0.0</v>
      </c>
      <c r="E434" s="5">
        <v>0.0</v>
      </c>
      <c r="F434" s="5">
        <v>1.0</v>
      </c>
    </row>
    <row r="435" ht="15.75" customHeight="1">
      <c r="A435" s="4" t="s">
        <v>478</v>
      </c>
      <c r="B435" s="4" t="s">
        <v>40</v>
      </c>
      <c r="C435" s="4" t="s">
        <v>128</v>
      </c>
      <c r="D435" s="5">
        <v>0.0</v>
      </c>
      <c r="E435" s="5">
        <v>0.0</v>
      </c>
      <c r="F435" s="5">
        <v>1.0</v>
      </c>
    </row>
    <row r="436" ht="15.75" customHeight="1">
      <c r="A436" s="4" t="s">
        <v>479</v>
      </c>
      <c r="B436" s="4" t="s">
        <v>40</v>
      </c>
      <c r="C436" s="4" t="s">
        <v>38</v>
      </c>
      <c r="D436" s="5">
        <v>0.0</v>
      </c>
      <c r="E436" s="5">
        <v>1.0</v>
      </c>
      <c r="F436" s="5">
        <v>0.0</v>
      </c>
    </row>
    <row r="437" ht="15.75" customHeight="1">
      <c r="A437" s="4" t="s">
        <v>480</v>
      </c>
      <c r="B437" s="4" t="s">
        <v>40</v>
      </c>
      <c r="C437" s="4" t="s">
        <v>38</v>
      </c>
      <c r="D437" s="5">
        <v>0.0</v>
      </c>
      <c r="E437" s="5">
        <v>1.0</v>
      </c>
      <c r="F437" s="5">
        <v>0.0</v>
      </c>
    </row>
    <row r="438" ht="15.75" customHeight="1">
      <c r="A438" s="4" t="s">
        <v>481</v>
      </c>
      <c r="B438" s="4" t="s">
        <v>40</v>
      </c>
      <c r="C438" s="4" t="s">
        <v>128</v>
      </c>
      <c r="D438" s="5">
        <v>0.0</v>
      </c>
      <c r="E438" s="5">
        <v>0.0</v>
      </c>
      <c r="F438" s="5">
        <v>1.0</v>
      </c>
    </row>
    <row r="439" ht="15.75" customHeight="1">
      <c r="A439" s="4" t="s">
        <v>482</v>
      </c>
      <c r="B439" s="4" t="s">
        <v>40</v>
      </c>
      <c r="C439" s="4" t="s">
        <v>38</v>
      </c>
      <c r="D439" s="5">
        <v>0.0</v>
      </c>
      <c r="E439" s="5">
        <v>1.0</v>
      </c>
      <c r="F439" s="5">
        <v>0.0</v>
      </c>
    </row>
    <row r="440" ht="15.75" customHeight="1">
      <c r="A440" s="4" t="s">
        <v>483</v>
      </c>
      <c r="B440" s="4" t="s">
        <v>40</v>
      </c>
      <c r="C440" s="4" t="s">
        <v>38</v>
      </c>
      <c r="D440" s="5">
        <v>0.0</v>
      </c>
      <c r="E440" s="5">
        <v>1.0</v>
      </c>
      <c r="F440" s="5">
        <v>0.0</v>
      </c>
    </row>
    <row r="441" ht="15.75" customHeight="1">
      <c r="A441" s="4" t="s">
        <v>484</v>
      </c>
      <c r="B441" s="4" t="s">
        <v>40</v>
      </c>
      <c r="C441" s="4" t="s">
        <v>128</v>
      </c>
      <c r="D441" s="5">
        <v>0.0</v>
      </c>
      <c r="E441" s="5">
        <v>0.0</v>
      </c>
      <c r="F441" s="5">
        <v>1.0</v>
      </c>
    </row>
    <row r="442" ht="15.75" customHeight="1">
      <c r="A442" s="4" t="s">
        <v>485</v>
      </c>
      <c r="B442" s="4" t="s">
        <v>40</v>
      </c>
      <c r="C442" s="4" t="s">
        <v>128</v>
      </c>
      <c r="D442" s="5">
        <v>0.0</v>
      </c>
      <c r="E442" s="5">
        <v>0.0</v>
      </c>
      <c r="F442" s="5">
        <v>1.0</v>
      </c>
    </row>
    <row r="443" ht="15.75" customHeight="1">
      <c r="A443" s="4" t="s">
        <v>486</v>
      </c>
      <c r="B443" s="4" t="s">
        <v>157</v>
      </c>
      <c r="C443" s="4" t="s">
        <v>449</v>
      </c>
      <c r="D443" s="5">
        <v>0.03</v>
      </c>
      <c r="E443" s="5">
        <v>0.4</v>
      </c>
      <c r="F443" s="5">
        <v>0.58</v>
      </c>
    </row>
    <row r="444" ht="15.75" customHeight="1">
      <c r="A444" s="4" t="s">
        <v>487</v>
      </c>
      <c r="B444" s="4" t="s">
        <v>37</v>
      </c>
      <c r="C444" s="4" t="s">
        <v>137</v>
      </c>
      <c r="D444" s="5">
        <v>0.0</v>
      </c>
      <c r="E444" s="5">
        <v>0.3</v>
      </c>
      <c r="F444" s="5">
        <v>0.1</v>
      </c>
    </row>
    <row r="445" ht="15.75" customHeight="1">
      <c r="A445" s="4" t="s">
        <v>488</v>
      </c>
      <c r="B445" s="4" t="s">
        <v>40</v>
      </c>
      <c r="C445" s="4" t="s">
        <v>38</v>
      </c>
      <c r="D445" s="5">
        <v>0.0</v>
      </c>
      <c r="E445" s="5">
        <v>1.0</v>
      </c>
      <c r="F445" s="5">
        <v>0.0</v>
      </c>
    </row>
    <row r="446" ht="15.75" customHeight="1">
      <c r="A446" s="4" t="s">
        <v>489</v>
      </c>
      <c r="B446" s="4" t="s">
        <v>40</v>
      </c>
      <c r="C446" s="4" t="s">
        <v>128</v>
      </c>
      <c r="D446" s="5">
        <v>0.0</v>
      </c>
      <c r="E446" s="5">
        <v>0.0</v>
      </c>
      <c r="F446" s="5">
        <v>0.5</v>
      </c>
    </row>
    <row r="447" ht="15.75" customHeight="1">
      <c r="A447" s="4" t="s">
        <v>490</v>
      </c>
      <c r="B447" s="4" t="s">
        <v>40</v>
      </c>
      <c r="C447" s="4" t="s">
        <v>38</v>
      </c>
      <c r="D447" s="5">
        <v>0.0</v>
      </c>
      <c r="E447" s="5">
        <v>1.0</v>
      </c>
      <c r="F447" s="5">
        <v>0.0</v>
      </c>
    </row>
    <row r="448" ht="15.75" customHeight="1">
      <c r="A448" s="4" t="s">
        <v>491</v>
      </c>
      <c r="B448" s="4" t="s">
        <v>40</v>
      </c>
      <c r="C448" s="4" t="s">
        <v>38</v>
      </c>
      <c r="D448" s="5">
        <v>0.0</v>
      </c>
      <c r="E448" s="5">
        <v>0.5</v>
      </c>
      <c r="F448" s="5">
        <v>0.0</v>
      </c>
    </row>
    <row r="449" ht="15.75" customHeight="1">
      <c r="A449" s="4" t="s">
        <v>492</v>
      </c>
      <c r="B449" s="4" t="s">
        <v>157</v>
      </c>
      <c r="C449" s="4" t="s">
        <v>137</v>
      </c>
      <c r="D449" s="5">
        <v>0.0</v>
      </c>
      <c r="E449" s="5">
        <v>0.3</v>
      </c>
      <c r="F449" s="5">
        <v>0.1</v>
      </c>
    </row>
    <row r="450" ht="15.75" customHeight="1">
      <c r="A450" s="4" t="s">
        <v>493</v>
      </c>
      <c r="B450" s="4" t="s">
        <v>37</v>
      </c>
      <c r="C450" s="4" t="s">
        <v>38</v>
      </c>
      <c r="D450" s="5">
        <v>0.0</v>
      </c>
      <c r="E450" s="5">
        <v>1.0</v>
      </c>
      <c r="F450" s="5">
        <v>0.0</v>
      </c>
    </row>
    <row r="451" ht="15.75" customHeight="1">
      <c r="A451" s="4" t="s">
        <v>494</v>
      </c>
      <c r="B451" s="4" t="s">
        <v>40</v>
      </c>
      <c r="C451" s="4" t="s">
        <v>38</v>
      </c>
      <c r="D451" s="5">
        <v>0.0</v>
      </c>
      <c r="E451" s="5">
        <v>1.0</v>
      </c>
      <c r="F451" s="5">
        <v>0.0</v>
      </c>
    </row>
    <row r="452" ht="15.75" customHeight="1">
      <c r="A452" s="4" t="s">
        <v>495</v>
      </c>
      <c r="B452" s="4" t="s">
        <v>40</v>
      </c>
      <c r="C452" s="4" t="s">
        <v>38</v>
      </c>
      <c r="D452" s="5">
        <v>0.0</v>
      </c>
      <c r="E452" s="5">
        <v>1.0</v>
      </c>
      <c r="F452" s="5">
        <v>0.0</v>
      </c>
    </row>
    <row r="453" ht="15.75" customHeight="1">
      <c r="A453" s="4" t="s">
        <v>496</v>
      </c>
      <c r="B453" s="4" t="s">
        <v>157</v>
      </c>
      <c r="C453" s="4" t="s">
        <v>38</v>
      </c>
      <c r="D453" s="5">
        <v>0.0</v>
      </c>
      <c r="E453" s="5">
        <v>1.0</v>
      </c>
      <c r="F453" s="5">
        <v>0.0</v>
      </c>
    </row>
    <row r="454" ht="15.75" customHeight="1">
      <c r="A454" s="4" t="s">
        <v>497</v>
      </c>
      <c r="B454" s="4" t="s">
        <v>37</v>
      </c>
      <c r="C454" s="4" t="s">
        <v>128</v>
      </c>
      <c r="D454" s="5">
        <v>0.0</v>
      </c>
      <c r="E454" s="5">
        <v>0.0</v>
      </c>
      <c r="F454" s="5">
        <v>1.0</v>
      </c>
    </row>
    <row r="455" ht="15.75" customHeight="1">
      <c r="A455" s="4" t="s">
        <v>498</v>
      </c>
      <c r="B455" s="4" t="s">
        <v>40</v>
      </c>
      <c r="C455" s="4" t="s">
        <v>128</v>
      </c>
      <c r="D455" s="5">
        <v>0.0</v>
      </c>
      <c r="E455" s="5">
        <v>0.0</v>
      </c>
      <c r="F455" s="5">
        <v>1.0</v>
      </c>
    </row>
    <row r="456" ht="15.75" customHeight="1">
      <c r="A456" s="4" t="s">
        <v>499</v>
      </c>
      <c r="B456" s="4" t="s">
        <v>40</v>
      </c>
      <c r="C456" s="4" t="s">
        <v>128</v>
      </c>
      <c r="D456" s="5">
        <v>0.0</v>
      </c>
      <c r="E456" s="5">
        <v>0.0</v>
      </c>
      <c r="F456" s="5">
        <v>1.0</v>
      </c>
    </row>
    <row r="457" ht="15.75" customHeight="1">
      <c r="A457" s="4" t="s">
        <v>500</v>
      </c>
      <c r="B457" s="4" t="s">
        <v>40</v>
      </c>
      <c r="C457" s="4" t="s">
        <v>128</v>
      </c>
      <c r="D457" s="5">
        <v>0.0</v>
      </c>
      <c r="E457" s="5">
        <v>0.0</v>
      </c>
      <c r="F457" s="5">
        <v>1.0</v>
      </c>
    </row>
    <row r="458" ht="15.75" customHeight="1">
      <c r="A458" s="4" t="s">
        <v>501</v>
      </c>
      <c r="B458" s="4" t="s">
        <v>37</v>
      </c>
      <c r="C458" s="4" t="s">
        <v>137</v>
      </c>
      <c r="D458" s="5">
        <v>0.0</v>
      </c>
      <c r="E458" s="5">
        <v>0.8</v>
      </c>
      <c r="F458" s="5">
        <v>0.2</v>
      </c>
    </row>
    <row r="459" ht="15.75" customHeight="1">
      <c r="A459" s="4" t="s">
        <v>502</v>
      </c>
      <c r="B459" s="4" t="s">
        <v>40</v>
      </c>
      <c r="C459" s="4" t="s">
        <v>137</v>
      </c>
      <c r="D459" s="5">
        <v>0.0</v>
      </c>
      <c r="E459" s="5">
        <v>0.5</v>
      </c>
      <c r="F459" s="5">
        <v>0.5</v>
      </c>
    </row>
    <row r="460" ht="15.75" customHeight="1">
      <c r="A460" s="4" t="s">
        <v>503</v>
      </c>
      <c r="B460" s="4" t="s">
        <v>40</v>
      </c>
      <c r="C460" s="4" t="s">
        <v>38</v>
      </c>
      <c r="D460" s="5">
        <v>0.0</v>
      </c>
      <c r="E460" s="5">
        <v>1.0</v>
      </c>
      <c r="F460" s="5">
        <v>0.0</v>
      </c>
    </row>
    <row r="461" ht="15.75" customHeight="1">
      <c r="A461" s="4" t="s">
        <v>504</v>
      </c>
      <c r="B461" s="4" t="s">
        <v>40</v>
      </c>
      <c r="C461" s="4" t="s">
        <v>38</v>
      </c>
      <c r="D461" s="5">
        <v>0.0</v>
      </c>
      <c r="E461" s="5">
        <v>1.0</v>
      </c>
      <c r="F461" s="5">
        <v>0.0</v>
      </c>
    </row>
    <row r="462" ht="15.75" customHeight="1">
      <c r="A462" s="4" t="s">
        <v>505</v>
      </c>
      <c r="B462" s="4" t="s">
        <v>40</v>
      </c>
      <c r="C462" s="4" t="s">
        <v>38</v>
      </c>
      <c r="D462" s="5">
        <v>0.0</v>
      </c>
      <c r="E462" s="5">
        <v>1.0</v>
      </c>
      <c r="F462" s="5">
        <v>0.0</v>
      </c>
    </row>
    <row r="463" ht="15.75" customHeight="1">
      <c r="A463" s="4" t="s">
        <v>506</v>
      </c>
      <c r="B463" s="4" t="s">
        <v>40</v>
      </c>
      <c r="C463" s="4" t="s">
        <v>38</v>
      </c>
      <c r="D463" s="5">
        <v>0.0</v>
      </c>
      <c r="E463" s="5">
        <v>1.0</v>
      </c>
      <c r="F463" s="5">
        <v>0.0</v>
      </c>
    </row>
    <row r="464" ht="15.75" customHeight="1">
      <c r="A464" s="4" t="s">
        <v>507</v>
      </c>
      <c r="B464" s="4" t="s">
        <v>37</v>
      </c>
      <c r="C464" s="4" t="s">
        <v>38</v>
      </c>
      <c r="D464" s="5">
        <v>0.0</v>
      </c>
      <c r="E464" s="5">
        <v>1.0</v>
      </c>
      <c r="F464" s="5">
        <v>0.0</v>
      </c>
    </row>
    <row r="465" ht="15.75" customHeight="1">
      <c r="A465" s="4" t="s">
        <v>508</v>
      </c>
      <c r="B465" s="4" t="s">
        <v>40</v>
      </c>
      <c r="C465" s="4" t="s">
        <v>38</v>
      </c>
      <c r="D465" s="5">
        <v>0.0</v>
      </c>
      <c r="E465" s="5">
        <v>1.0</v>
      </c>
      <c r="F465" s="5">
        <v>0.0</v>
      </c>
    </row>
    <row r="466" ht="15.75" customHeight="1">
      <c r="A466" s="4" t="s">
        <v>509</v>
      </c>
      <c r="B466" s="4" t="s">
        <v>40</v>
      </c>
      <c r="C466" s="4" t="s">
        <v>38</v>
      </c>
      <c r="D466" s="5">
        <v>0.0</v>
      </c>
      <c r="E466" s="5">
        <v>1.0</v>
      </c>
      <c r="F466" s="5">
        <v>0.0</v>
      </c>
    </row>
    <row r="467" ht="15.75" customHeight="1">
      <c r="A467" s="4" t="s">
        <v>510</v>
      </c>
      <c r="B467" s="4" t="s">
        <v>37</v>
      </c>
      <c r="C467" s="4" t="s">
        <v>128</v>
      </c>
      <c r="D467" s="5">
        <v>0.0</v>
      </c>
      <c r="E467" s="5">
        <v>0.0</v>
      </c>
      <c r="F467" s="5">
        <v>1.0</v>
      </c>
    </row>
    <row r="468" ht="15.75" customHeight="1">
      <c r="A468" s="4" t="s">
        <v>511</v>
      </c>
      <c r="B468" s="4" t="s">
        <v>40</v>
      </c>
      <c r="C468" s="4" t="s">
        <v>128</v>
      </c>
      <c r="D468" s="5">
        <v>0.0</v>
      </c>
      <c r="E468" s="5">
        <v>0.0</v>
      </c>
      <c r="F468" s="5">
        <v>1.0</v>
      </c>
    </row>
    <row r="469" ht="15.75" customHeight="1">
      <c r="A469" s="4" t="s">
        <v>512</v>
      </c>
      <c r="B469" s="4" t="s">
        <v>37</v>
      </c>
      <c r="C469" s="4" t="s">
        <v>38</v>
      </c>
      <c r="D469" s="5">
        <v>0.0</v>
      </c>
      <c r="E469" s="5">
        <v>1.0</v>
      </c>
      <c r="F469" s="5">
        <v>0.0</v>
      </c>
    </row>
    <row r="470" ht="15.75" customHeight="1">
      <c r="A470" s="4" t="s">
        <v>513</v>
      </c>
      <c r="B470" s="4" t="s">
        <v>37</v>
      </c>
      <c r="C470" s="4" t="s">
        <v>128</v>
      </c>
      <c r="D470" s="5">
        <v>0.0</v>
      </c>
      <c r="E470" s="5">
        <v>0.0</v>
      </c>
      <c r="F470" s="5">
        <v>1.0</v>
      </c>
    </row>
    <row r="471" ht="15.75" customHeight="1">
      <c r="A471" s="4" t="s">
        <v>514</v>
      </c>
      <c r="B471" s="4" t="s">
        <v>37</v>
      </c>
      <c r="C471" s="4" t="s">
        <v>280</v>
      </c>
      <c r="D471" s="5">
        <v>0.33</v>
      </c>
      <c r="E471" s="5">
        <v>0.33</v>
      </c>
      <c r="F471" s="5">
        <v>0.0</v>
      </c>
    </row>
    <row r="472" ht="15.75" customHeight="1">
      <c r="A472" s="4" t="s">
        <v>515</v>
      </c>
      <c r="B472" s="4" t="s">
        <v>40</v>
      </c>
      <c r="C472" s="4" t="s">
        <v>38</v>
      </c>
      <c r="D472" s="5">
        <v>0.0</v>
      </c>
      <c r="E472" s="5">
        <v>0.5</v>
      </c>
      <c r="F472" s="5">
        <v>0.0</v>
      </c>
    </row>
    <row r="473" ht="15.75" customHeight="1">
      <c r="A473" s="4" t="s">
        <v>516</v>
      </c>
      <c r="B473" s="4" t="s">
        <v>40</v>
      </c>
      <c r="C473" s="4" t="s">
        <v>44</v>
      </c>
      <c r="D473" s="5">
        <v>0.5</v>
      </c>
      <c r="E473" s="5">
        <v>0.0</v>
      </c>
      <c r="F473" s="5">
        <v>0.0</v>
      </c>
    </row>
    <row r="474" ht="15.75" customHeight="1">
      <c r="A474" s="4" t="s">
        <v>517</v>
      </c>
      <c r="B474" s="4" t="s">
        <v>40</v>
      </c>
      <c r="C474" s="4" t="s">
        <v>38</v>
      </c>
      <c r="D474" s="5">
        <v>0.0</v>
      </c>
      <c r="E474" s="5">
        <v>0.5</v>
      </c>
      <c r="F474" s="5">
        <v>0.0</v>
      </c>
    </row>
    <row r="475" ht="15.75" customHeight="1">
      <c r="D475" s="10"/>
      <c r="E475" s="10"/>
      <c r="F475" s="10"/>
    </row>
    <row r="476" ht="15.75" customHeight="1">
      <c r="D476" s="10"/>
      <c r="E476" s="10"/>
      <c r="F476" s="10"/>
    </row>
    <row r="477" ht="15.75" customHeight="1">
      <c r="D477" s="10"/>
      <c r="E477" s="10"/>
      <c r="F477" s="10"/>
    </row>
    <row r="478" ht="15.75" customHeight="1">
      <c r="D478" s="10"/>
      <c r="E478" s="10"/>
      <c r="F478" s="10"/>
    </row>
    <row r="479" ht="15.75" customHeight="1">
      <c r="D479" s="10"/>
      <c r="E479" s="10"/>
      <c r="F479" s="10"/>
    </row>
    <row r="480" ht="15.75" customHeight="1">
      <c r="D480" s="10"/>
      <c r="E480" s="10"/>
      <c r="F480" s="10"/>
    </row>
    <row r="481" ht="15.75" customHeight="1">
      <c r="D481" s="10"/>
      <c r="E481" s="10"/>
      <c r="F481" s="10"/>
    </row>
    <row r="482" ht="15.75" customHeight="1">
      <c r="D482" s="10"/>
      <c r="E482" s="10"/>
      <c r="F482" s="10"/>
    </row>
    <row r="483" ht="15.75" customHeight="1">
      <c r="D483" s="10"/>
      <c r="E483" s="10"/>
      <c r="F483" s="10"/>
    </row>
    <row r="484" ht="15.75" customHeight="1">
      <c r="D484" s="10"/>
      <c r="E484" s="10"/>
      <c r="F484" s="10"/>
    </row>
    <row r="485" ht="15.75" customHeight="1">
      <c r="D485" s="10"/>
      <c r="E485" s="10"/>
      <c r="F485" s="10"/>
    </row>
    <row r="486" ht="15.75" customHeight="1">
      <c r="D486" s="10"/>
      <c r="E486" s="10"/>
      <c r="F486" s="10"/>
    </row>
    <row r="487" ht="15.75" customHeight="1">
      <c r="D487" s="10"/>
      <c r="E487" s="10"/>
      <c r="F487" s="10"/>
    </row>
    <row r="488" ht="15.75" customHeight="1">
      <c r="D488" s="10"/>
      <c r="E488" s="10"/>
      <c r="F488" s="10"/>
    </row>
    <row r="489" ht="15.75" customHeight="1">
      <c r="D489" s="10"/>
      <c r="E489" s="10"/>
      <c r="F489" s="10"/>
    </row>
    <row r="490" ht="15.75" customHeight="1">
      <c r="D490" s="10"/>
      <c r="E490" s="10"/>
      <c r="F490" s="10"/>
    </row>
    <row r="491" ht="15.75" customHeight="1">
      <c r="D491" s="10"/>
      <c r="E491" s="10"/>
      <c r="F491" s="10"/>
    </row>
    <row r="492" ht="15.75" customHeight="1">
      <c r="D492" s="10"/>
      <c r="E492" s="10"/>
      <c r="F492" s="10"/>
    </row>
    <row r="493" ht="15.75" customHeight="1">
      <c r="D493" s="10"/>
      <c r="E493" s="10"/>
      <c r="F493" s="10"/>
    </row>
    <row r="494" ht="15.75" customHeight="1">
      <c r="D494" s="10"/>
      <c r="E494" s="10"/>
      <c r="F494" s="10"/>
    </row>
    <row r="495" ht="15.75" customHeight="1">
      <c r="D495" s="10"/>
      <c r="E495" s="10"/>
      <c r="F495" s="10"/>
    </row>
    <row r="496" ht="15.75" customHeight="1">
      <c r="D496" s="10"/>
      <c r="E496" s="10"/>
      <c r="F496" s="10"/>
    </row>
    <row r="497" ht="15.75" customHeight="1">
      <c r="D497" s="10"/>
      <c r="E497" s="10"/>
      <c r="F497" s="10"/>
    </row>
    <row r="498" ht="15.75" customHeight="1">
      <c r="D498" s="10"/>
      <c r="E498" s="10"/>
      <c r="F498" s="10"/>
    </row>
    <row r="499" ht="15.75" customHeight="1">
      <c r="D499" s="10"/>
      <c r="E499" s="10"/>
      <c r="F499" s="10"/>
    </row>
    <row r="500" ht="15.75" customHeight="1">
      <c r="D500" s="10"/>
      <c r="E500" s="10"/>
      <c r="F500" s="10"/>
    </row>
    <row r="501" ht="15.75" customHeight="1">
      <c r="D501" s="10"/>
      <c r="E501" s="10"/>
      <c r="F501" s="10"/>
    </row>
    <row r="502" ht="15.75" customHeight="1">
      <c r="D502" s="10"/>
      <c r="E502" s="10"/>
      <c r="F502" s="10"/>
    </row>
    <row r="503" ht="15.75" customHeight="1">
      <c r="D503" s="10"/>
      <c r="E503" s="10"/>
      <c r="F503" s="10"/>
    </row>
    <row r="504" ht="15.75" customHeight="1">
      <c r="D504" s="10"/>
      <c r="E504" s="10"/>
      <c r="F504" s="10"/>
    </row>
    <row r="505" ht="15.75" customHeight="1">
      <c r="D505" s="10"/>
      <c r="E505" s="10"/>
      <c r="F505" s="10"/>
    </row>
    <row r="506" ht="15.75" customHeight="1">
      <c r="D506" s="10"/>
      <c r="E506" s="10"/>
      <c r="F506" s="10"/>
    </row>
    <row r="507" ht="15.75" customHeight="1">
      <c r="D507" s="10"/>
      <c r="E507" s="10"/>
      <c r="F507" s="10"/>
    </row>
    <row r="508" ht="15.75" customHeight="1">
      <c r="D508" s="10"/>
      <c r="E508" s="10"/>
      <c r="F508" s="10"/>
    </row>
    <row r="509" ht="15.75" customHeight="1">
      <c r="D509" s="10"/>
      <c r="E509" s="10"/>
      <c r="F509" s="10"/>
    </row>
    <row r="510" ht="15.75" customHeight="1">
      <c r="D510" s="10"/>
      <c r="E510" s="10"/>
      <c r="F510" s="10"/>
    </row>
    <row r="511" ht="15.75" customHeight="1">
      <c r="D511" s="10"/>
      <c r="E511" s="10"/>
      <c r="F511" s="10"/>
    </row>
    <row r="512" ht="15.75" customHeight="1">
      <c r="D512" s="10"/>
      <c r="E512" s="10"/>
      <c r="F512" s="10"/>
    </row>
    <row r="513" ht="15.75" customHeight="1">
      <c r="D513" s="10"/>
      <c r="E513" s="10"/>
      <c r="F513" s="10"/>
    </row>
    <row r="514" ht="15.75" customHeight="1">
      <c r="D514" s="10"/>
      <c r="E514" s="10"/>
      <c r="F514" s="10"/>
    </row>
    <row r="515" ht="15.75" customHeight="1">
      <c r="D515" s="10"/>
      <c r="E515" s="10"/>
      <c r="F515" s="10"/>
    </row>
    <row r="516" ht="15.75" customHeight="1">
      <c r="D516" s="10"/>
      <c r="E516" s="10"/>
      <c r="F516" s="10"/>
    </row>
    <row r="517" ht="15.75" customHeight="1">
      <c r="D517" s="10"/>
      <c r="E517" s="10"/>
      <c r="F517" s="10"/>
    </row>
    <row r="518" ht="15.75" customHeight="1">
      <c r="D518" s="10"/>
      <c r="E518" s="10"/>
      <c r="F518" s="10"/>
    </row>
    <row r="519" ht="15.75" customHeight="1">
      <c r="D519" s="10"/>
      <c r="E519" s="10"/>
      <c r="F519" s="10"/>
    </row>
    <row r="520" ht="15.75" customHeight="1">
      <c r="D520" s="10"/>
      <c r="E520" s="10"/>
      <c r="F520" s="10"/>
    </row>
    <row r="521" ht="15.75" customHeight="1">
      <c r="D521" s="10"/>
      <c r="E521" s="10"/>
      <c r="F521" s="10"/>
    </row>
    <row r="522" ht="15.75" customHeight="1">
      <c r="D522" s="10"/>
      <c r="E522" s="10"/>
      <c r="F522" s="10"/>
    </row>
    <row r="523" ht="15.75" customHeight="1">
      <c r="D523" s="10"/>
      <c r="E523" s="10"/>
      <c r="F523" s="10"/>
    </row>
    <row r="524" ht="15.75" customHeight="1">
      <c r="D524" s="10"/>
      <c r="E524" s="10"/>
      <c r="F524" s="10"/>
    </row>
    <row r="525" ht="15.75" customHeight="1">
      <c r="D525" s="10"/>
      <c r="E525" s="10"/>
      <c r="F525" s="10"/>
    </row>
    <row r="526" ht="15.75" customHeight="1">
      <c r="D526" s="10"/>
      <c r="E526" s="10"/>
      <c r="F526" s="10"/>
    </row>
    <row r="527" ht="15.75" customHeight="1">
      <c r="D527" s="10"/>
      <c r="E527" s="10"/>
      <c r="F527" s="10"/>
    </row>
    <row r="528" ht="15.75" customHeight="1">
      <c r="D528" s="10"/>
      <c r="E528" s="10"/>
      <c r="F528" s="10"/>
    </row>
    <row r="529" ht="15.75" customHeight="1">
      <c r="D529" s="10"/>
      <c r="E529" s="10"/>
      <c r="F529" s="10"/>
    </row>
    <row r="530" ht="15.75" customHeight="1">
      <c r="D530" s="10"/>
      <c r="E530" s="10"/>
      <c r="F530" s="10"/>
    </row>
    <row r="531" ht="15.75" customHeight="1">
      <c r="D531" s="10"/>
      <c r="E531" s="10"/>
      <c r="F531" s="10"/>
    </row>
    <row r="532" ht="15.75" customHeight="1">
      <c r="D532" s="10"/>
      <c r="E532" s="10"/>
      <c r="F532" s="10"/>
    </row>
    <row r="533" ht="15.75" customHeight="1">
      <c r="D533" s="10"/>
      <c r="E533" s="10"/>
      <c r="F533" s="10"/>
    </row>
    <row r="534" ht="15.75" customHeight="1">
      <c r="D534" s="10"/>
      <c r="E534" s="10"/>
      <c r="F534" s="10"/>
    </row>
    <row r="535" ht="15.75" customHeight="1">
      <c r="D535" s="10"/>
      <c r="E535" s="10"/>
      <c r="F535" s="10"/>
    </row>
    <row r="536" ht="15.75" customHeight="1">
      <c r="D536" s="10"/>
      <c r="E536" s="10"/>
      <c r="F536" s="10"/>
    </row>
    <row r="537" ht="15.75" customHeight="1">
      <c r="D537" s="10"/>
      <c r="E537" s="10"/>
      <c r="F537" s="10"/>
    </row>
    <row r="538" ht="15.75" customHeight="1">
      <c r="D538" s="10"/>
      <c r="E538" s="10"/>
      <c r="F538" s="10"/>
    </row>
    <row r="539" ht="15.75" customHeight="1">
      <c r="D539" s="10"/>
      <c r="E539" s="10"/>
      <c r="F539" s="10"/>
    </row>
    <row r="540" ht="15.75" customHeight="1">
      <c r="D540" s="10"/>
      <c r="E540" s="10"/>
      <c r="F540" s="10"/>
    </row>
    <row r="541" ht="15.75" customHeight="1">
      <c r="D541" s="10"/>
      <c r="E541" s="10"/>
      <c r="F541" s="10"/>
    </row>
    <row r="542" ht="15.75" customHeight="1">
      <c r="D542" s="10"/>
      <c r="E542" s="10"/>
      <c r="F542" s="10"/>
    </row>
    <row r="543" ht="15.75" customHeight="1">
      <c r="D543" s="10"/>
      <c r="E543" s="10"/>
      <c r="F543" s="10"/>
    </row>
    <row r="544" ht="15.75" customHeight="1">
      <c r="D544" s="10"/>
      <c r="E544" s="10"/>
      <c r="F544" s="10"/>
    </row>
    <row r="545" ht="15.75" customHeight="1">
      <c r="D545" s="10"/>
      <c r="E545" s="10"/>
      <c r="F545" s="10"/>
    </row>
    <row r="546" ht="15.75" customHeight="1">
      <c r="D546" s="10"/>
      <c r="E546" s="10"/>
      <c r="F546" s="10"/>
    </row>
    <row r="547" ht="15.75" customHeight="1">
      <c r="D547" s="10"/>
      <c r="E547" s="10"/>
      <c r="F547" s="10"/>
    </row>
    <row r="548" ht="15.75" customHeight="1">
      <c r="D548" s="10"/>
      <c r="E548" s="10"/>
      <c r="F548" s="10"/>
    </row>
    <row r="549" ht="15.75" customHeight="1">
      <c r="D549" s="10"/>
      <c r="E549" s="10"/>
      <c r="F549" s="10"/>
    </row>
    <row r="550" ht="15.75" customHeight="1">
      <c r="D550" s="10"/>
      <c r="E550" s="10"/>
      <c r="F550" s="10"/>
    </row>
    <row r="551" ht="15.75" customHeight="1">
      <c r="D551" s="10"/>
      <c r="E551" s="10"/>
      <c r="F551" s="10"/>
    </row>
    <row r="552" ht="15.75" customHeight="1">
      <c r="D552" s="10"/>
      <c r="E552" s="10"/>
      <c r="F552" s="10"/>
    </row>
    <row r="553" ht="15.75" customHeight="1">
      <c r="D553" s="10"/>
      <c r="E553" s="10"/>
      <c r="F553" s="10"/>
    </row>
    <row r="554" ht="15.75" customHeight="1">
      <c r="D554" s="10"/>
      <c r="E554" s="10"/>
      <c r="F554" s="10"/>
    </row>
    <row r="555" ht="15.75" customHeight="1">
      <c r="D555" s="10"/>
      <c r="E555" s="10"/>
      <c r="F555" s="10"/>
    </row>
    <row r="556" ht="15.75" customHeight="1">
      <c r="D556" s="10"/>
      <c r="E556" s="10"/>
      <c r="F556" s="10"/>
    </row>
    <row r="557" ht="15.75" customHeight="1">
      <c r="D557" s="10"/>
      <c r="E557" s="10"/>
      <c r="F557" s="10"/>
    </row>
    <row r="558" ht="15.75" customHeight="1">
      <c r="D558" s="10"/>
      <c r="E558" s="10"/>
      <c r="F558" s="10"/>
    </row>
    <row r="559" ht="15.75" customHeight="1">
      <c r="D559" s="10"/>
      <c r="E559" s="10"/>
      <c r="F559" s="10"/>
    </row>
    <row r="560" ht="15.75" customHeight="1">
      <c r="D560" s="10"/>
      <c r="E560" s="10"/>
      <c r="F560" s="10"/>
    </row>
    <row r="561" ht="15.75" customHeight="1">
      <c r="D561" s="10"/>
      <c r="E561" s="10"/>
      <c r="F561" s="10"/>
    </row>
    <row r="562" ht="15.75" customHeight="1">
      <c r="D562" s="10"/>
      <c r="E562" s="10"/>
      <c r="F562" s="10"/>
    </row>
    <row r="563" ht="15.75" customHeight="1">
      <c r="D563" s="10"/>
      <c r="E563" s="10"/>
      <c r="F563" s="10"/>
    </row>
    <row r="564" ht="15.75" customHeight="1">
      <c r="D564" s="10"/>
      <c r="E564" s="10"/>
      <c r="F564" s="10"/>
    </row>
    <row r="565" ht="15.75" customHeight="1">
      <c r="D565" s="10"/>
      <c r="E565" s="10"/>
      <c r="F565" s="10"/>
    </row>
    <row r="566" ht="15.75" customHeight="1">
      <c r="D566" s="10"/>
      <c r="E566" s="10"/>
      <c r="F566" s="10"/>
    </row>
    <row r="567" ht="15.75" customHeight="1">
      <c r="D567" s="10"/>
      <c r="E567" s="10"/>
      <c r="F567" s="10"/>
    </row>
    <row r="568" ht="15.75" customHeight="1">
      <c r="D568" s="10"/>
      <c r="E568" s="10"/>
      <c r="F568" s="10"/>
    </row>
    <row r="569" ht="15.75" customHeight="1">
      <c r="D569" s="10"/>
      <c r="E569" s="10"/>
      <c r="F569" s="10"/>
    </row>
    <row r="570" ht="15.75" customHeight="1">
      <c r="D570" s="10"/>
      <c r="E570" s="10"/>
      <c r="F570" s="10"/>
    </row>
    <row r="571" ht="15.75" customHeight="1">
      <c r="D571" s="10"/>
      <c r="E571" s="10"/>
      <c r="F571" s="10"/>
    </row>
    <row r="572" ht="15.75" customHeight="1">
      <c r="D572" s="10"/>
      <c r="E572" s="10"/>
      <c r="F572" s="10"/>
    </row>
    <row r="573" ht="15.75" customHeight="1">
      <c r="D573" s="10"/>
      <c r="E573" s="10"/>
      <c r="F573" s="10"/>
    </row>
    <row r="574" ht="15.75" customHeight="1">
      <c r="D574" s="10"/>
      <c r="E574" s="10"/>
      <c r="F574" s="10"/>
    </row>
    <row r="575" ht="15.75" customHeight="1">
      <c r="D575" s="10"/>
      <c r="E575" s="10"/>
      <c r="F575" s="10"/>
    </row>
    <row r="576" ht="15.75" customHeight="1">
      <c r="D576" s="10"/>
      <c r="E576" s="10"/>
      <c r="F576" s="10"/>
    </row>
    <row r="577" ht="15.75" customHeight="1">
      <c r="D577" s="10"/>
      <c r="E577" s="10"/>
      <c r="F577" s="10"/>
    </row>
    <row r="578" ht="15.75" customHeight="1">
      <c r="D578" s="10"/>
      <c r="E578" s="10"/>
      <c r="F578" s="10"/>
    </row>
    <row r="579" ht="15.75" customHeight="1">
      <c r="D579" s="10"/>
      <c r="E579" s="10"/>
      <c r="F579" s="10"/>
    </row>
    <row r="580" ht="15.75" customHeight="1">
      <c r="D580" s="10"/>
      <c r="E580" s="10"/>
      <c r="F580" s="10"/>
    </row>
    <row r="581" ht="15.75" customHeight="1">
      <c r="D581" s="10"/>
      <c r="E581" s="10"/>
      <c r="F581" s="10"/>
    </row>
    <row r="582" ht="15.75" customHeight="1">
      <c r="D582" s="10"/>
      <c r="E582" s="10"/>
      <c r="F582" s="10"/>
    </row>
    <row r="583" ht="15.75" customHeight="1">
      <c r="D583" s="10"/>
      <c r="E583" s="10"/>
      <c r="F583" s="10"/>
    </row>
    <row r="584" ht="15.75" customHeight="1">
      <c r="D584" s="10"/>
      <c r="E584" s="10"/>
      <c r="F584" s="10"/>
    </row>
    <row r="585" ht="15.75" customHeight="1">
      <c r="D585" s="10"/>
      <c r="E585" s="10"/>
      <c r="F585" s="10"/>
    </row>
    <row r="586" ht="15.75" customHeight="1">
      <c r="D586" s="10"/>
      <c r="E586" s="10"/>
      <c r="F586" s="10"/>
    </row>
    <row r="587" ht="15.75" customHeight="1">
      <c r="D587" s="10"/>
      <c r="E587" s="10"/>
      <c r="F587" s="10"/>
    </row>
    <row r="588" ht="15.75" customHeight="1">
      <c r="D588" s="10"/>
      <c r="E588" s="10"/>
      <c r="F588" s="10"/>
    </row>
    <row r="589" ht="15.75" customHeight="1">
      <c r="D589" s="10"/>
      <c r="E589" s="10"/>
      <c r="F589" s="10"/>
    </row>
    <row r="590" ht="15.75" customHeight="1">
      <c r="D590" s="10"/>
      <c r="E590" s="10"/>
      <c r="F590" s="10"/>
    </row>
    <row r="591" ht="15.75" customHeight="1">
      <c r="D591" s="10"/>
      <c r="E591" s="10"/>
      <c r="F591" s="10"/>
    </row>
    <row r="592" ht="15.75" customHeight="1">
      <c r="D592" s="10"/>
      <c r="E592" s="10"/>
      <c r="F592" s="10"/>
    </row>
    <row r="593" ht="15.75" customHeight="1">
      <c r="D593" s="10"/>
      <c r="E593" s="10"/>
      <c r="F593" s="10"/>
    </row>
    <row r="594" ht="15.75" customHeight="1">
      <c r="D594" s="10"/>
      <c r="E594" s="10"/>
      <c r="F594" s="10"/>
    </row>
    <row r="595" ht="15.75" customHeight="1">
      <c r="D595" s="10"/>
      <c r="E595" s="10"/>
      <c r="F595" s="10"/>
    </row>
    <row r="596" ht="15.75" customHeight="1">
      <c r="D596" s="10"/>
      <c r="E596" s="10"/>
      <c r="F596" s="10"/>
    </row>
    <row r="597" ht="15.75" customHeight="1">
      <c r="D597" s="10"/>
      <c r="E597" s="10"/>
      <c r="F597" s="10"/>
    </row>
    <row r="598" ht="15.75" customHeight="1">
      <c r="D598" s="10"/>
      <c r="E598" s="10"/>
      <c r="F598" s="10"/>
    </row>
    <row r="599" ht="15.75" customHeight="1">
      <c r="D599" s="10"/>
      <c r="E599" s="10"/>
      <c r="F599" s="10"/>
    </row>
    <row r="600" ht="15.75" customHeight="1">
      <c r="D600" s="10"/>
      <c r="E600" s="10"/>
      <c r="F600" s="10"/>
    </row>
    <row r="601" ht="15.75" customHeight="1">
      <c r="D601" s="10"/>
      <c r="E601" s="10"/>
      <c r="F601" s="10"/>
    </row>
    <row r="602" ht="15.75" customHeight="1">
      <c r="D602" s="10"/>
      <c r="E602" s="10"/>
      <c r="F602" s="10"/>
    </row>
    <row r="603" ht="15.75" customHeight="1">
      <c r="D603" s="10"/>
      <c r="E603" s="10"/>
      <c r="F603" s="10"/>
    </row>
    <row r="604" ht="15.75" customHeight="1">
      <c r="D604" s="10"/>
      <c r="E604" s="10"/>
      <c r="F604" s="10"/>
    </row>
    <row r="605" ht="15.75" customHeight="1">
      <c r="D605" s="10"/>
      <c r="E605" s="10"/>
      <c r="F605" s="10"/>
    </row>
    <row r="606" ht="15.75" customHeight="1">
      <c r="D606" s="10"/>
      <c r="E606" s="10"/>
      <c r="F606" s="10"/>
    </row>
    <row r="607" ht="15.75" customHeight="1">
      <c r="D607" s="10"/>
      <c r="E607" s="10"/>
      <c r="F607" s="10"/>
    </row>
    <row r="608" ht="15.75" customHeight="1">
      <c r="D608" s="10"/>
      <c r="E608" s="10"/>
      <c r="F608" s="10"/>
    </row>
    <row r="609" ht="15.75" customHeight="1">
      <c r="D609" s="10"/>
      <c r="E609" s="10"/>
      <c r="F609" s="10"/>
    </row>
    <row r="610" ht="15.75" customHeight="1">
      <c r="D610" s="10"/>
      <c r="E610" s="10"/>
      <c r="F610" s="10"/>
    </row>
    <row r="611" ht="15.75" customHeight="1">
      <c r="D611" s="10"/>
      <c r="E611" s="10"/>
      <c r="F611" s="10"/>
    </row>
    <row r="612" ht="15.75" customHeight="1">
      <c r="D612" s="10"/>
      <c r="E612" s="10"/>
      <c r="F612" s="10"/>
    </row>
    <row r="613" ht="15.75" customHeight="1">
      <c r="D613" s="10"/>
      <c r="E613" s="10"/>
      <c r="F613" s="10"/>
    </row>
    <row r="614" ht="15.75" customHeight="1">
      <c r="D614" s="10"/>
      <c r="E614" s="10"/>
      <c r="F614" s="10"/>
    </row>
    <row r="615" ht="15.75" customHeight="1">
      <c r="D615" s="10"/>
      <c r="E615" s="10"/>
      <c r="F615" s="10"/>
    </row>
    <row r="616" ht="15.75" customHeight="1">
      <c r="D616" s="10"/>
      <c r="E616" s="10"/>
      <c r="F616" s="10"/>
    </row>
    <row r="617" ht="15.75" customHeight="1">
      <c r="D617" s="10"/>
      <c r="E617" s="10"/>
      <c r="F617" s="10"/>
    </row>
    <row r="618" ht="15.75" customHeight="1">
      <c r="D618" s="10"/>
      <c r="E618" s="10"/>
      <c r="F618" s="10"/>
    </row>
    <row r="619" ht="15.75" customHeight="1">
      <c r="D619" s="10"/>
      <c r="E619" s="10"/>
      <c r="F619" s="10"/>
    </row>
    <row r="620" ht="15.75" customHeight="1">
      <c r="D620" s="10"/>
      <c r="E620" s="10"/>
      <c r="F620" s="10"/>
    </row>
    <row r="621" ht="15.75" customHeight="1">
      <c r="D621" s="10"/>
      <c r="E621" s="10"/>
      <c r="F621" s="10"/>
    </row>
    <row r="622" ht="15.75" customHeight="1">
      <c r="D622" s="10"/>
      <c r="E622" s="10"/>
      <c r="F622" s="10"/>
    </row>
    <row r="623" ht="15.75" customHeight="1">
      <c r="D623" s="10"/>
      <c r="E623" s="10"/>
      <c r="F623" s="10"/>
    </row>
    <row r="624" ht="15.75" customHeight="1">
      <c r="D624" s="10"/>
      <c r="E624" s="10"/>
      <c r="F624" s="10"/>
    </row>
    <row r="625" ht="15.75" customHeight="1">
      <c r="D625" s="10"/>
      <c r="E625" s="10"/>
      <c r="F625" s="10"/>
    </row>
    <row r="626" ht="15.75" customHeight="1">
      <c r="D626" s="10"/>
      <c r="E626" s="10"/>
      <c r="F626" s="10"/>
    </row>
    <row r="627" ht="15.75" customHeight="1">
      <c r="D627" s="10"/>
      <c r="E627" s="10"/>
      <c r="F627" s="10"/>
    </row>
    <row r="628" ht="15.75" customHeight="1">
      <c r="D628" s="10"/>
      <c r="E628" s="10"/>
      <c r="F628" s="10"/>
    </row>
    <row r="629" ht="15.75" customHeight="1">
      <c r="D629" s="10"/>
      <c r="E629" s="10"/>
      <c r="F629" s="10"/>
    </row>
    <row r="630" ht="15.75" customHeight="1">
      <c r="D630" s="10"/>
      <c r="E630" s="10"/>
      <c r="F630" s="10"/>
    </row>
    <row r="631" ht="15.75" customHeight="1">
      <c r="D631" s="10"/>
      <c r="E631" s="10"/>
      <c r="F631" s="10"/>
    </row>
    <row r="632" ht="15.75" customHeight="1">
      <c r="D632" s="10"/>
      <c r="E632" s="10"/>
      <c r="F632" s="10"/>
    </row>
    <row r="633" ht="15.75" customHeight="1">
      <c r="D633" s="10"/>
      <c r="E633" s="10"/>
      <c r="F633" s="10"/>
    </row>
    <row r="634" ht="15.75" customHeight="1">
      <c r="D634" s="10"/>
      <c r="E634" s="10"/>
      <c r="F634" s="10"/>
    </row>
    <row r="635" ht="15.75" customHeight="1">
      <c r="D635" s="10"/>
      <c r="E635" s="10"/>
      <c r="F635" s="10"/>
    </row>
    <row r="636" ht="15.75" customHeight="1">
      <c r="D636" s="10"/>
      <c r="E636" s="10"/>
      <c r="F636" s="10"/>
    </row>
    <row r="637" ht="15.75" customHeight="1">
      <c r="D637" s="10"/>
      <c r="E637" s="10"/>
      <c r="F637" s="10"/>
    </row>
    <row r="638" ht="15.75" customHeight="1">
      <c r="D638" s="10"/>
      <c r="E638" s="10"/>
      <c r="F638" s="10"/>
    </row>
    <row r="639" ht="15.75" customHeight="1">
      <c r="D639" s="10"/>
      <c r="E639" s="10"/>
      <c r="F639" s="10"/>
    </row>
    <row r="640" ht="15.75" customHeight="1">
      <c r="D640" s="10"/>
      <c r="E640" s="10"/>
      <c r="F640" s="10"/>
    </row>
    <row r="641" ht="15.75" customHeight="1">
      <c r="D641" s="10"/>
      <c r="E641" s="10"/>
      <c r="F641" s="10"/>
    </row>
    <row r="642" ht="15.75" customHeight="1">
      <c r="D642" s="10"/>
      <c r="E642" s="10"/>
      <c r="F642" s="10"/>
    </row>
    <row r="643" ht="15.75" customHeight="1">
      <c r="D643" s="10"/>
      <c r="E643" s="10"/>
      <c r="F643" s="10"/>
    </row>
    <row r="644" ht="15.75" customHeight="1">
      <c r="D644" s="10"/>
      <c r="E644" s="10"/>
      <c r="F644" s="10"/>
    </row>
    <row r="645" ht="15.75" customHeight="1">
      <c r="D645" s="10"/>
      <c r="E645" s="10"/>
      <c r="F645" s="10"/>
    </row>
    <row r="646" ht="15.75" customHeight="1">
      <c r="D646" s="10"/>
      <c r="E646" s="10"/>
      <c r="F646" s="10"/>
    </row>
    <row r="647" ht="15.75" customHeight="1">
      <c r="D647" s="10"/>
      <c r="E647" s="10"/>
      <c r="F647" s="10"/>
    </row>
    <row r="648" ht="15.75" customHeight="1">
      <c r="D648" s="10"/>
      <c r="E648" s="10"/>
      <c r="F648" s="10"/>
    </row>
    <row r="649" ht="15.75" customHeight="1">
      <c r="D649" s="10"/>
      <c r="E649" s="10"/>
      <c r="F649" s="10"/>
    </row>
    <row r="650" ht="15.75" customHeight="1">
      <c r="D650" s="10"/>
      <c r="E650" s="10"/>
      <c r="F650" s="10"/>
    </row>
    <row r="651" ht="15.75" customHeight="1">
      <c r="D651" s="10"/>
      <c r="E651" s="10"/>
      <c r="F651" s="10"/>
    </row>
    <row r="652" ht="15.75" customHeight="1">
      <c r="D652" s="10"/>
      <c r="E652" s="10"/>
      <c r="F652" s="10"/>
    </row>
    <row r="653" ht="15.75" customHeight="1">
      <c r="D653" s="10"/>
      <c r="E653" s="10"/>
      <c r="F653" s="10"/>
    </row>
    <row r="654" ht="15.75" customHeight="1">
      <c r="D654" s="10"/>
      <c r="E654" s="10"/>
      <c r="F654" s="10"/>
    </row>
    <row r="655" ht="15.75" customHeight="1">
      <c r="D655" s="10"/>
      <c r="E655" s="10"/>
      <c r="F655" s="10"/>
    </row>
    <row r="656" ht="15.75" customHeight="1">
      <c r="D656" s="10"/>
      <c r="E656" s="10"/>
      <c r="F656" s="10"/>
    </row>
    <row r="657" ht="15.75" customHeight="1">
      <c r="D657" s="10"/>
      <c r="E657" s="10"/>
      <c r="F657" s="10"/>
    </row>
    <row r="658" ht="15.75" customHeight="1">
      <c r="D658" s="10"/>
      <c r="E658" s="10"/>
      <c r="F658" s="10"/>
    </row>
    <row r="659" ht="15.75" customHeight="1">
      <c r="D659" s="10"/>
      <c r="E659" s="10"/>
      <c r="F659" s="10"/>
    </row>
    <row r="660" ht="15.75" customHeight="1">
      <c r="D660" s="10"/>
      <c r="E660" s="10"/>
      <c r="F660" s="10"/>
    </row>
    <row r="661" ht="15.75" customHeight="1">
      <c r="D661" s="10"/>
      <c r="E661" s="10"/>
      <c r="F661" s="10"/>
    </row>
    <row r="662" ht="15.75" customHeight="1">
      <c r="D662" s="10"/>
      <c r="E662" s="10"/>
      <c r="F662" s="10"/>
    </row>
    <row r="663" ht="15.75" customHeight="1">
      <c r="D663" s="10"/>
      <c r="E663" s="10"/>
      <c r="F663" s="10"/>
    </row>
    <row r="664" ht="15.75" customHeight="1">
      <c r="D664" s="10"/>
      <c r="E664" s="10"/>
      <c r="F664" s="10"/>
    </row>
    <row r="665" ht="15.75" customHeight="1">
      <c r="D665" s="10"/>
      <c r="E665" s="10"/>
      <c r="F665" s="10"/>
    </row>
    <row r="666" ht="15.75" customHeight="1">
      <c r="D666" s="10"/>
      <c r="E666" s="10"/>
      <c r="F666" s="10"/>
    </row>
    <row r="667" ht="15.75" customHeight="1">
      <c r="D667" s="10"/>
      <c r="E667" s="10"/>
      <c r="F667" s="10"/>
    </row>
    <row r="668" ht="15.75" customHeight="1">
      <c r="D668" s="10"/>
      <c r="E668" s="10"/>
      <c r="F668" s="10"/>
    </row>
    <row r="669" ht="15.75" customHeight="1">
      <c r="D669" s="10"/>
      <c r="E669" s="10"/>
      <c r="F669" s="10"/>
    </row>
    <row r="670" ht="15.75" customHeight="1">
      <c r="D670" s="10"/>
      <c r="E670" s="10"/>
      <c r="F670" s="10"/>
    </row>
    <row r="671" ht="15.75" customHeight="1">
      <c r="D671" s="10"/>
      <c r="E671" s="10"/>
      <c r="F671" s="10"/>
    </row>
    <row r="672" ht="15.75" customHeight="1">
      <c r="D672" s="10"/>
      <c r="E672" s="10"/>
      <c r="F672" s="10"/>
    </row>
    <row r="673" ht="15.75" customHeight="1">
      <c r="D673" s="10"/>
      <c r="E673" s="10"/>
      <c r="F673" s="10"/>
    </row>
    <row r="674" ht="15.75" customHeight="1">
      <c r="D674" s="10"/>
      <c r="E674" s="10"/>
      <c r="F674" s="10"/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40.88"/>
    <col customWidth="1" min="3" max="3" width="14.0"/>
    <col customWidth="1" min="4" max="5" width="10.63"/>
    <col customWidth="1" min="6" max="6" width="11.63"/>
    <col customWidth="1" min="7" max="7" width="31.13"/>
    <col customWidth="1" min="8" max="26" width="8.63"/>
  </cols>
  <sheetData>
    <row r="1">
      <c r="A1" s="14" t="s">
        <v>518</v>
      </c>
      <c r="B1" s="14" t="s">
        <v>519</v>
      </c>
      <c r="C1" s="2" t="s">
        <v>520</v>
      </c>
      <c r="D1" s="2" t="s">
        <v>521</v>
      </c>
      <c r="E1" s="2" t="s">
        <v>522</v>
      </c>
      <c r="F1" s="2" t="s">
        <v>523</v>
      </c>
      <c r="G1" s="1" t="s">
        <v>524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5" t="s">
        <v>525</v>
      </c>
      <c r="B2" s="15" t="s">
        <v>526</v>
      </c>
      <c r="C2" s="5" t="s">
        <v>527</v>
      </c>
      <c r="D2" s="5" t="s">
        <v>528</v>
      </c>
      <c r="E2" s="5" t="s">
        <v>529</v>
      </c>
      <c r="F2" s="5" t="s">
        <v>530</v>
      </c>
      <c r="G2" s="4" t="s">
        <v>531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5" t="s">
        <v>532</v>
      </c>
      <c r="B3" s="15" t="s">
        <v>533</v>
      </c>
      <c r="C3" s="5" t="s">
        <v>527</v>
      </c>
      <c r="D3" s="5" t="s">
        <v>528</v>
      </c>
      <c r="E3" s="5" t="s">
        <v>529</v>
      </c>
      <c r="F3" s="5" t="s">
        <v>530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5" t="s">
        <v>534</v>
      </c>
      <c r="B4" s="15" t="s">
        <v>535</v>
      </c>
      <c r="C4" s="5" t="s">
        <v>527</v>
      </c>
      <c r="D4" s="5" t="s">
        <v>528</v>
      </c>
      <c r="E4" s="5" t="s">
        <v>529</v>
      </c>
      <c r="F4" s="5" t="s">
        <v>530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5" t="s">
        <v>536</v>
      </c>
      <c r="B5" s="15" t="s">
        <v>537</v>
      </c>
      <c r="C5" s="5" t="s">
        <v>538</v>
      </c>
      <c r="D5" s="5" t="s">
        <v>528</v>
      </c>
      <c r="E5" s="5" t="s">
        <v>529</v>
      </c>
      <c r="F5" s="5" t="s">
        <v>530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5" t="s">
        <v>539</v>
      </c>
      <c r="B6" s="15" t="s">
        <v>540</v>
      </c>
      <c r="C6" s="5" t="s">
        <v>538</v>
      </c>
      <c r="D6" s="5" t="s">
        <v>528</v>
      </c>
      <c r="E6" s="5" t="s">
        <v>529</v>
      </c>
      <c r="F6" s="5" t="s">
        <v>530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" t="s">
        <v>541</v>
      </c>
      <c r="B7" s="15" t="s">
        <v>542</v>
      </c>
      <c r="C7" s="5" t="s">
        <v>527</v>
      </c>
      <c r="D7" s="5" t="s">
        <v>528</v>
      </c>
      <c r="E7" s="5" t="s">
        <v>529</v>
      </c>
      <c r="F7" s="5" t="s">
        <v>530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 t="s">
        <v>543</v>
      </c>
      <c r="B8" s="15" t="s">
        <v>544</v>
      </c>
      <c r="C8" s="5" t="s">
        <v>545</v>
      </c>
      <c r="D8" s="5" t="s">
        <v>528</v>
      </c>
      <c r="E8" s="5" t="s">
        <v>529</v>
      </c>
      <c r="F8" s="5" t="s">
        <v>530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" t="s">
        <v>546</v>
      </c>
      <c r="B9" s="15" t="s">
        <v>547</v>
      </c>
      <c r="C9" s="5" t="s">
        <v>548</v>
      </c>
      <c r="D9" s="5" t="s">
        <v>549</v>
      </c>
      <c r="E9" s="5" t="s">
        <v>550</v>
      </c>
      <c r="F9" s="5" t="s">
        <v>551</v>
      </c>
      <c r="G9" s="4" t="s">
        <v>552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5" t="s">
        <v>553</v>
      </c>
      <c r="B10" s="15" t="s">
        <v>554</v>
      </c>
      <c r="C10" s="5" t="s">
        <v>555</v>
      </c>
      <c r="D10" s="5" t="s">
        <v>556</v>
      </c>
      <c r="E10" s="5" t="s">
        <v>557</v>
      </c>
      <c r="F10" s="5" t="s">
        <v>551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" t="s">
        <v>558</v>
      </c>
      <c r="B11" s="15" t="s">
        <v>559</v>
      </c>
      <c r="C11" s="5" t="s">
        <v>560</v>
      </c>
      <c r="D11" s="5" t="s">
        <v>556</v>
      </c>
      <c r="E11" s="5" t="s">
        <v>557</v>
      </c>
      <c r="F11" s="5" t="s">
        <v>551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5" t="s">
        <v>561</v>
      </c>
      <c r="B12" s="15" t="s">
        <v>562</v>
      </c>
      <c r="C12" s="5" t="s">
        <v>563</v>
      </c>
      <c r="D12" s="5" t="s">
        <v>556</v>
      </c>
      <c r="E12" s="5" t="s">
        <v>557</v>
      </c>
      <c r="F12" s="5" t="s">
        <v>551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" t="s">
        <v>564</v>
      </c>
      <c r="B13" s="15" t="s">
        <v>565</v>
      </c>
      <c r="C13" s="5" t="s">
        <v>566</v>
      </c>
      <c r="D13" s="5" t="s">
        <v>549</v>
      </c>
      <c r="E13" s="5" t="s">
        <v>567</v>
      </c>
      <c r="F13" s="5" t="s">
        <v>568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5" t="s">
        <v>569</v>
      </c>
      <c r="B14" s="15" t="s">
        <v>570</v>
      </c>
      <c r="C14" s="5" t="s">
        <v>571</v>
      </c>
      <c r="D14" s="5" t="s">
        <v>549</v>
      </c>
      <c r="E14" s="5" t="s">
        <v>557</v>
      </c>
      <c r="F14" s="5" t="s">
        <v>551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5" t="s">
        <v>572</v>
      </c>
      <c r="B15" s="15" t="s">
        <v>573</v>
      </c>
      <c r="C15" s="5" t="s">
        <v>571</v>
      </c>
      <c r="D15" s="5" t="s">
        <v>549</v>
      </c>
      <c r="E15" s="5" t="s">
        <v>557</v>
      </c>
      <c r="F15" s="5" t="s">
        <v>551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 t="s">
        <v>574</v>
      </c>
      <c r="B16" s="15" t="s">
        <v>575</v>
      </c>
      <c r="C16" s="5" t="s">
        <v>576</v>
      </c>
      <c r="D16" s="5" t="s">
        <v>549</v>
      </c>
      <c r="E16" s="5" t="s">
        <v>557</v>
      </c>
      <c r="F16" s="5" t="s">
        <v>551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5" t="s">
        <v>577</v>
      </c>
      <c r="B17" s="15" t="s">
        <v>578</v>
      </c>
      <c r="C17" s="5" t="s">
        <v>579</v>
      </c>
      <c r="D17" s="5" t="s">
        <v>556</v>
      </c>
      <c r="E17" s="5" t="s">
        <v>557</v>
      </c>
      <c r="F17" s="5" t="s">
        <v>551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5" t="s">
        <v>580</v>
      </c>
      <c r="B18" s="15" t="s">
        <v>581</v>
      </c>
      <c r="C18" s="5" t="s">
        <v>560</v>
      </c>
      <c r="D18" s="5" t="s">
        <v>556</v>
      </c>
      <c r="E18" s="5" t="s">
        <v>557</v>
      </c>
      <c r="F18" s="5" t="s">
        <v>551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 t="s">
        <v>582</v>
      </c>
      <c r="B19" s="15" t="s">
        <v>583</v>
      </c>
      <c r="C19" s="5" t="s">
        <v>584</v>
      </c>
      <c r="D19" s="5" t="s">
        <v>585</v>
      </c>
      <c r="E19" s="5" t="s">
        <v>538</v>
      </c>
      <c r="F19" s="5" t="s">
        <v>551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 t="s">
        <v>586</v>
      </c>
      <c r="B20" s="15" t="s">
        <v>587</v>
      </c>
      <c r="C20" s="5" t="s">
        <v>588</v>
      </c>
      <c r="D20" s="5" t="s">
        <v>585</v>
      </c>
      <c r="E20" s="5" t="s">
        <v>538</v>
      </c>
      <c r="F20" s="5" t="s">
        <v>551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5" t="s">
        <v>589</v>
      </c>
      <c r="B21" s="15" t="s">
        <v>590</v>
      </c>
      <c r="C21" s="5" t="s">
        <v>576</v>
      </c>
      <c r="D21" s="5" t="s">
        <v>585</v>
      </c>
      <c r="E21" s="5" t="s">
        <v>538</v>
      </c>
      <c r="F21" s="5" t="s">
        <v>551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5" t="s">
        <v>591</v>
      </c>
      <c r="B22" s="15" t="s">
        <v>592</v>
      </c>
      <c r="C22" s="5" t="s">
        <v>576</v>
      </c>
      <c r="D22" s="5" t="s">
        <v>585</v>
      </c>
      <c r="E22" s="5" t="s">
        <v>538</v>
      </c>
      <c r="F22" s="5" t="s">
        <v>551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5" t="s">
        <v>593</v>
      </c>
      <c r="B23" s="15" t="s">
        <v>594</v>
      </c>
      <c r="C23" s="5" t="s">
        <v>576</v>
      </c>
      <c r="D23" s="5" t="s">
        <v>585</v>
      </c>
      <c r="E23" s="5" t="s">
        <v>538</v>
      </c>
      <c r="F23" s="5" t="s">
        <v>551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17.75" customHeight="1">
      <c r="A24" s="15" t="s">
        <v>595</v>
      </c>
      <c r="B24" s="15" t="s">
        <v>596</v>
      </c>
      <c r="C24" s="5" t="s">
        <v>576</v>
      </c>
      <c r="D24" s="5" t="s">
        <v>538</v>
      </c>
      <c r="E24" s="5" t="s">
        <v>538</v>
      </c>
      <c r="F24" s="5" t="s">
        <v>597</v>
      </c>
      <c r="G24" s="8" t="s">
        <v>598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5" t="s">
        <v>599</v>
      </c>
      <c r="B25" s="15" t="s">
        <v>600</v>
      </c>
      <c r="C25" s="5" t="s">
        <v>601</v>
      </c>
      <c r="D25" s="5" t="s">
        <v>601</v>
      </c>
      <c r="E25" s="5" t="s">
        <v>601</v>
      </c>
      <c r="F25" s="5" t="s">
        <v>601</v>
      </c>
      <c r="G25" s="4" t="s">
        <v>602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69.75" customHeight="1">
      <c r="A26" s="15" t="s">
        <v>603</v>
      </c>
      <c r="B26" s="15" t="s">
        <v>604</v>
      </c>
      <c r="C26" s="5" t="s">
        <v>538</v>
      </c>
      <c r="D26" s="5" t="s">
        <v>585</v>
      </c>
      <c r="E26" s="5" t="s">
        <v>605</v>
      </c>
      <c r="F26" s="5" t="s">
        <v>606</v>
      </c>
      <c r="G26" s="4" t="s">
        <v>607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B27" s="15" t="s">
        <v>608</v>
      </c>
      <c r="C27" s="5" t="s">
        <v>538</v>
      </c>
      <c r="D27" s="5" t="s">
        <v>585</v>
      </c>
      <c r="E27" s="5" t="s">
        <v>609</v>
      </c>
      <c r="F27" s="5" t="s">
        <v>610</v>
      </c>
      <c r="G27" s="4" t="s">
        <v>611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42.0" customHeight="1">
      <c r="A28" s="15" t="s">
        <v>612</v>
      </c>
      <c r="B28" s="15" t="s">
        <v>613</v>
      </c>
      <c r="C28" s="5" t="s">
        <v>538</v>
      </c>
      <c r="D28" s="5" t="s">
        <v>585</v>
      </c>
      <c r="E28" s="5" t="s">
        <v>614</v>
      </c>
      <c r="F28" s="5" t="s">
        <v>615</v>
      </c>
      <c r="G28" s="1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5" t="s">
        <v>616</v>
      </c>
      <c r="B29" s="15" t="s">
        <v>617</v>
      </c>
      <c r="C29" s="5" t="s">
        <v>618</v>
      </c>
      <c r="D29" s="5" t="s">
        <v>585</v>
      </c>
      <c r="E29" s="5" t="s">
        <v>619</v>
      </c>
      <c r="F29" s="5" t="s">
        <v>620</v>
      </c>
      <c r="G29" s="4" t="s">
        <v>621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5" t="s">
        <v>622</v>
      </c>
      <c r="B30" s="15" t="s">
        <v>623</v>
      </c>
      <c r="C30" s="5" t="s">
        <v>624</v>
      </c>
      <c r="D30" s="5" t="s">
        <v>585</v>
      </c>
      <c r="E30" s="5" t="s">
        <v>619</v>
      </c>
      <c r="F30" s="5" t="s">
        <v>620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5" t="s">
        <v>625</v>
      </c>
      <c r="B31" s="15" t="s">
        <v>626</v>
      </c>
      <c r="C31" s="5" t="s">
        <v>624</v>
      </c>
      <c r="D31" s="5" t="s">
        <v>585</v>
      </c>
      <c r="E31" s="5" t="s">
        <v>627</v>
      </c>
      <c r="F31" s="5" t="s">
        <v>620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5" t="s">
        <v>628</v>
      </c>
      <c r="B32" s="15" t="s">
        <v>629</v>
      </c>
      <c r="C32" s="5" t="s">
        <v>630</v>
      </c>
      <c r="D32" s="5" t="s">
        <v>528</v>
      </c>
      <c r="E32" s="5" t="s">
        <v>631</v>
      </c>
      <c r="F32" s="5" t="s">
        <v>632</v>
      </c>
      <c r="G32" s="4" t="s">
        <v>633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5" t="s">
        <v>634</v>
      </c>
      <c r="B33" s="15" t="s">
        <v>635</v>
      </c>
      <c r="C33" s="5" t="s">
        <v>636</v>
      </c>
      <c r="D33" s="5" t="s">
        <v>528</v>
      </c>
      <c r="E33" s="5" t="s">
        <v>631</v>
      </c>
      <c r="F33" s="5" t="s">
        <v>632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5" t="s">
        <v>637</v>
      </c>
      <c r="B34" s="15" t="s">
        <v>638</v>
      </c>
      <c r="C34" s="5" t="s">
        <v>576</v>
      </c>
      <c r="D34" s="5" t="s">
        <v>585</v>
      </c>
      <c r="E34" s="5">
        <v>2018.0</v>
      </c>
      <c r="F34" s="5" t="s">
        <v>639</v>
      </c>
      <c r="G34" s="4" t="s">
        <v>640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5" t="s">
        <v>641</v>
      </c>
      <c r="B35" s="15" t="s">
        <v>642</v>
      </c>
      <c r="C35" s="5" t="s">
        <v>643</v>
      </c>
      <c r="D35" s="5" t="s">
        <v>601</v>
      </c>
      <c r="E35" s="5" t="s">
        <v>601</v>
      </c>
      <c r="F35" s="5" t="s">
        <v>644</v>
      </c>
      <c r="G35" s="4" t="s">
        <v>645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48.0" customHeight="1">
      <c r="A36" s="15" t="s">
        <v>646</v>
      </c>
      <c r="B36" s="15" t="s">
        <v>647</v>
      </c>
      <c r="C36" s="5" t="s">
        <v>601</v>
      </c>
      <c r="D36" s="5" t="s">
        <v>601</v>
      </c>
      <c r="E36" s="5" t="s">
        <v>601</v>
      </c>
      <c r="F36" s="5" t="s">
        <v>648</v>
      </c>
      <c r="G36" s="4" t="s">
        <v>649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75.0" customHeight="1">
      <c r="A37" s="15" t="s">
        <v>650</v>
      </c>
      <c r="B37" s="15" t="s">
        <v>651</v>
      </c>
      <c r="C37" s="5" t="s">
        <v>601</v>
      </c>
      <c r="D37" s="5" t="s">
        <v>601</v>
      </c>
      <c r="E37" s="5" t="s">
        <v>601</v>
      </c>
      <c r="F37" s="5" t="s">
        <v>648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7"/>
      <c r="B38" s="17"/>
      <c r="C38" s="7"/>
      <c r="D38" s="7"/>
      <c r="E38" s="7"/>
      <c r="F38" s="7"/>
      <c r="G38" s="1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7"/>
      <c r="B39" s="17"/>
      <c r="C39" s="7"/>
      <c r="D39" s="7"/>
      <c r="E39" s="7"/>
      <c r="F39" s="7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7"/>
      <c r="B40" s="17"/>
      <c r="C40" s="7"/>
      <c r="D40" s="7"/>
      <c r="E40" s="7"/>
      <c r="F40" s="7"/>
      <c r="G40" s="1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7"/>
      <c r="B41" s="17"/>
      <c r="C41" s="7"/>
      <c r="D41" s="7"/>
      <c r="E41" s="7"/>
      <c r="F41" s="7"/>
      <c r="G41" s="1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7"/>
      <c r="B42" s="17"/>
      <c r="C42" s="7"/>
      <c r="D42" s="7"/>
      <c r="E42" s="7"/>
      <c r="F42" s="7"/>
      <c r="G42" s="1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7"/>
      <c r="B43" s="17"/>
      <c r="C43" s="7"/>
      <c r="D43" s="7"/>
      <c r="E43" s="7"/>
      <c r="F43" s="7"/>
      <c r="G43" s="1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7"/>
      <c r="B44" s="17"/>
      <c r="C44" s="7"/>
      <c r="D44" s="7"/>
      <c r="E44" s="7"/>
      <c r="F44" s="7"/>
      <c r="G44" s="1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7"/>
      <c r="B45" s="17"/>
      <c r="C45" s="7"/>
      <c r="D45" s="7"/>
      <c r="E45" s="7"/>
      <c r="F45" s="7"/>
      <c r="G45" s="1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7"/>
      <c r="B46" s="17"/>
      <c r="C46" s="7"/>
      <c r="D46" s="7"/>
      <c r="E46" s="7"/>
      <c r="F46" s="7"/>
      <c r="G46" s="1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7"/>
      <c r="B47" s="17"/>
      <c r="C47" s="7"/>
      <c r="D47" s="7"/>
      <c r="E47" s="7"/>
      <c r="F47" s="7"/>
      <c r="G47" s="1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7"/>
      <c r="B48" s="17"/>
      <c r="C48" s="7"/>
      <c r="D48" s="7"/>
      <c r="E48" s="7"/>
      <c r="F48" s="7"/>
      <c r="G48" s="1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7"/>
      <c r="B49" s="17"/>
      <c r="C49" s="7"/>
      <c r="D49" s="7"/>
      <c r="E49" s="7"/>
      <c r="F49" s="7"/>
      <c r="G49" s="1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7"/>
      <c r="B50" s="17"/>
      <c r="C50" s="7"/>
      <c r="D50" s="7"/>
      <c r="E50" s="7"/>
      <c r="F50" s="7"/>
      <c r="G50" s="1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7"/>
      <c r="B51" s="17"/>
      <c r="C51" s="7"/>
      <c r="D51" s="7"/>
      <c r="E51" s="7"/>
      <c r="F51" s="7"/>
      <c r="G51" s="1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7"/>
      <c r="B52" s="17"/>
      <c r="C52" s="7"/>
      <c r="D52" s="7"/>
      <c r="E52" s="7"/>
      <c r="F52" s="7"/>
      <c r="G52" s="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7"/>
      <c r="B53" s="17"/>
      <c r="C53" s="7"/>
      <c r="D53" s="7"/>
      <c r="E53" s="7"/>
      <c r="F53" s="7"/>
      <c r="G53" s="1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7"/>
      <c r="B54" s="17"/>
      <c r="C54" s="7"/>
      <c r="D54" s="7"/>
      <c r="E54" s="7"/>
      <c r="F54" s="7"/>
      <c r="G54" s="1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7"/>
      <c r="B55" s="17"/>
      <c r="C55" s="7"/>
      <c r="D55" s="7"/>
      <c r="E55" s="7"/>
      <c r="F55" s="7"/>
      <c r="G55" s="1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7"/>
      <c r="B56" s="17"/>
      <c r="C56" s="7"/>
      <c r="D56" s="7"/>
      <c r="E56" s="7"/>
      <c r="F56" s="7"/>
      <c r="G56" s="1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7"/>
      <c r="B57" s="17"/>
      <c r="C57" s="7"/>
      <c r="D57" s="7"/>
      <c r="E57" s="7"/>
      <c r="F57" s="7"/>
      <c r="G57" s="1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7"/>
      <c r="B58" s="17"/>
      <c r="C58" s="7"/>
      <c r="D58" s="7"/>
      <c r="E58" s="7"/>
      <c r="F58" s="7"/>
      <c r="G58" s="1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7"/>
      <c r="B59" s="17"/>
      <c r="C59" s="7"/>
      <c r="D59" s="7"/>
      <c r="E59" s="7"/>
      <c r="F59" s="7"/>
      <c r="G59" s="1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7"/>
      <c r="B60" s="17"/>
      <c r="C60" s="7"/>
      <c r="D60" s="7"/>
      <c r="E60" s="7"/>
      <c r="F60" s="7"/>
      <c r="G60" s="1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7"/>
      <c r="B61" s="17"/>
      <c r="C61" s="7"/>
      <c r="D61" s="7"/>
      <c r="E61" s="7"/>
      <c r="F61" s="7"/>
      <c r="G61" s="1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7"/>
      <c r="B62" s="17"/>
      <c r="C62" s="7"/>
      <c r="D62" s="7"/>
      <c r="E62" s="7"/>
      <c r="F62" s="7"/>
      <c r="G62" s="1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7"/>
      <c r="B63" s="17"/>
      <c r="C63" s="7"/>
      <c r="D63" s="7"/>
      <c r="E63" s="7"/>
      <c r="F63" s="7"/>
      <c r="G63" s="1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7"/>
      <c r="B64" s="17"/>
      <c r="C64" s="7"/>
      <c r="D64" s="7"/>
      <c r="E64" s="7"/>
      <c r="F64" s="7"/>
      <c r="G64" s="1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7"/>
      <c r="B65" s="17"/>
      <c r="C65" s="7"/>
      <c r="D65" s="7"/>
      <c r="E65" s="7"/>
      <c r="F65" s="7"/>
      <c r="G65" s="1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7"/>
      <c r="B66" s="17"/>
      <c r="C66" s="7"/>
      <c r="D66" s="7"/>
      <c r="E66" s="7"/>
      <c r="F66" s="7"/>
      <c r="G66" s="1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7"/>
      <c r="B67" s="17"/>
      <c r="C67" s="7"/>
      <c r="D67" s="7"/>
      <c r="E67" s="7"/>
      <c r="F67" s="7"/>
      <c r="G67" s="1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7"/>
      <c r="B68" s="17"/>
      <c r="C68" s="7"/>
      <c r="D68" s="7"/>
      <c r="E68" s="7"/>
      <c r="F68" s="7"/>
      <c r="G68" s="1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7"/>
      <c r="B69" s="17"/>
      <c r="C69" s="7"/>
      <c r="D69" s="7"/>
      <c r="E69" s="7"/>
      <c r="F69" s="7"/>
      <c r="G69" s="1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7"/>
      <c r="B70" s="17"/>
      <c r="C70" s="7"/>
      <c r="D70" s="7"/>
      <c r="E70" s="7"/>
      <c r="F70" s="7"/>
      <c r="G70" s="1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7"/>
      <c r="B71" s="17"/>
      <c r="C71" s="7"/>
      <c r="D71" s="7"/>
      <c r="E71" s="7"/>
      <c r="F71" s="7"/>
      <c r="G71" s="1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7"/>
      <c r="B72" s="17"/>
      <c r="C72" s="7"/>
      <c r="D72" s="7"/>
      <c r="E72" s="7"/>
      <c r="F72" s="7"/>
      <c r="G72" s="1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7"/>
      <c r="B73" s="17"/>
      <c r="C73" s="7"/>
      <c r="D73" s="7"/>
      <c r="E73" s="7"/>
      <c r="F73" s="7"/>
      <c r="G73" s="1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7"/>
      <c r="B74" s="17"/>
      <c r="C74" s="7"/>
      <c r="D74" s="7"/>
      <c r="E74" s="7"/>
      <c r="F74" s="7"/>
      <c r="G74" s="1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7"/>
      <c r="B75" s="17"/>
      <c r="C75" s="7"/>
      <c r="D75" s="7"/>
      <c r="E75" s="7"/>
      <c r="F75" s="7"/>
      <c r="G75" s="1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7"/>
      <c r="B76" s="17"/>
      <c r="C76" s="7"/>
      <c r="D76" s="7"/>
      <c r="E76" s="7"/>
      <c r="F76" s="7"/>
      <c r="G76" s="1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7"/>
      <c r="B77" s="17"/>
      <c r="C77" s="7"/>
      <c r="D77" s="7"/>
      <c r="E77" s="7"/>
      <c r="F77" s="7"/>
      <c r="G77" s="1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7"/>
      <c r="B78" s="17"/>
      <c r="C78" s="7"/>
      <c r="D78" s="7"/>
      <c r="E78" s="7"/>
      <c r="F78" s="7"/>
      <c r="G78" s="1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7"/>
      <c r="B79" s="17"/>
      <c r="C79" s="7"/>
      <c r="D79" s="7"/>
      <c r="E79" s="7"/>
      <c r="F79" s="7"/>
      <c r="G79" s="1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7"/>
      <c r="B80" s="17"/>
      <c r="C80" s="7"/>
      <c r="D80" s="7"/>
      <c r="E80" s="7"/>
      <c r="F80" s="7"/>
      <c r="G80" s="1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7"/>
      <c r="B81" s="17"/>
      <c r="C81" s="7"/>
      <c r="D81" s="7"/>
      <c r="E81" s="7"/>
      <c r="F81" s="7"/>
      <c r="G81" s="1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7"/>
      <c r="B82" s="17"/>
      <c r="C82" s="7"/>
      <c r="D82" s="7"/>
      <c r="E82" s="7"/>
      <c r="F82" s="7"/>
      <c r="G82" s="1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7"/>
      <c r="B83" s="17"/>
      <c r="C83" s="7"/>
      <c r="D83" s="7"/>
      <c r="E83" s="7"/>
      <c r="F83" s="7"/>
      <c r="G83" s="1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7"/>
      <c r="B84" s="17"/>
      <c r="C84" s="7"/>
      <c r="D84" s="7"/>
      <c r="E84" s="7"/>
      <c r="F84" s="7"/>
      <c r="G84" s="1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7"/>
      <c r="B85" s="17"/>
      <c r="C85" s="7"/>
      <c r="D85" s="7"/>
      <c r="E85" s="7"/>
      <c r="F85" s="7"/>
      <c r="G85" s="1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7"/>
      <c r="B86" s="17"/>
      <c r="C86" s="7"/>
      <c r="D86" s="7"/>
      <c r="E86" s="7"/>
      <c r="F86" s="7"/>
      <c r="G86" s="1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7"/>
      <c r="B87" s="17"/>
      <c r="C87" s="7"/>
      <c r="D87" s="7"/>
      <c r="E87" s="7"/>
      <c r="F87" s="7"/>
      <c r="G87" s="1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7"/>
      <c r="B88" s="17"/>
      <c r="C88" s="7"/>
      <c r="D88" s="7"/>
      <c r="E88" s="7"/>
      <c r="F88" s="7"/>
      <c r="G88" s="1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7"/>
      <c r="B89" s="17"/>
      <c r="C89" s="7"/>
      <c r="D89" s="7"/>
      <c r="E89" s="7"/>
      <c r="F89" s="7"/>
      <c r="G89" s="1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7"/>
      <c r="B90" s="17"/>
      <c r="C90" s="7"/>
      <c r="D90" s="7"/>
      <c r="E90" s="7"/>
      <c r="F90" s="7"/>
      <c r="G90" s="1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7"/>
      <c r="B91" s="17"/>
      <c r="C91" s="7"/>
      <c r="D91" s="7"/>
      <c r="E91" s="7"/>
      <c r="F91" s="7"/>
      <c r="G91" s="1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7"/>
      <c r="B92" s="17"/>
      <c r="C92" s="7"/>
      <c r="D92" s="7"/>
      <c r="E92" s="7"/>
      <c r="F92" s="7"/>
      <c r="G92" s="1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7"/>
      <c r="B93" s="17"/>
      <c r="C93" s="7"/>
      <c r="D93" s="7"/>
      <c r="E93" s="7"/>
      <c r="F93" s="7"/>
      <c r="G93" s="1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7"/>
      <c r="B94" s="17"/>
      <c r="C94" s="7"/>
      <c r="D94" s="7"/>
      <c r="E94" s="7"/>
      <c r="F94" s="7"/>
      <c r="G94" s="1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7"/>
      <c r="B95" s="17"/>
      <c r="C95" s="7"/>
      <c r="D95" s="7"/>
      <c r="E95" s="7"/>
      <c r="F95" s="7"/>
      <c r="G95" s="1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7"/>
      <c r="B96" s="17"/>
      <c r="C96" s="7"/>
      <c r="D96" s="7"/>
      <c r="E96" s="7"/>
      <c r="F96" s="7"/>
      <c r="G96" s="1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7"/>
      <c r="B97" s="17"/>
      <c r="C97" s="7"/>
      <c r="D97" s="7"/>
      <c r="E97" s="7"/>
      <c r="F97" s="7"/>
      <c r="G97" s="1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7"/>
      <c r="B98" s="17"/>
      <c r="C98" s="7"/>
      <c r="D98" s="7"/>
      <c r="E98" s="7"/>
      <c r="F98" s="7"/>
      <c r="G98" s="1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7"/>
      <c r="B99" s="17"/>
      <c r="C99" s="7"/>
      <c r="D99" s="7"/>
      <c r="E99" s="7"/>
      <c r="F99" s="7"/>
      <c r="G99" s="1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7"/>
      <c r="B100" s="17"/>
      <c r="C100" s="7"/>
      <c r="D100" s="7"/>
      <c r="E100" s="7"/>
      <c r="F100" s="7"/>
      <c r="G100" s="1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7"/>
      <c r="B101" s="17"/>
      <c r="C101" s="7"/>
      <c r="D101" s="7"/>
      <c r="E101" s="7"/>
      <c r="F101" s="7"/>
      <c r="G101" s="1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7"/>
      <c r="B102" s="17"/>
      <c r="C102" s="7"/>
      <c r="D102" s="7"/>
      <c r="E102" s="7"/>
      <c r="F102" s="7"/>
      <c r="G102" s="1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7"/>
      <c r="B103" s="17"/>
      <c r="C103" s="7"/>
      <c r="D103" s="7"/>
      <c r="E103" s="7"/>
      <c r="F103" s="7"/>
      <c r="G103" s="1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7"/>
      <c r="B104" s="17"/>
      <c r="C104" s="7"/>
      <c r="D104" s="7"/>
      <c r="E104" s="7"/>
      <c r="F104" s="7"/>
      <c r="G104" s="1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7"/>
      <c r="B105" s="17"/>
      <c r="C105" s="7"/>
      <c r="D105" s="7"/>
      <c r="E105" s="7"/>
      <c r="F105" s="7"/>
      <c r="G105" s="1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7"/>
      <c r="B106" s="17"/>
      <c r="C106" s="7"/>
      <c r="D106" s="7"/>
      <c r="E106" s="7"/>
      <c r="F106" s="7"/>
      <c r="G106" s="1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7"/>
      <c r="B107" s="17"/>
      <c r="C107" s="7"/>
      <c r="D107" s="7"/>
      <c r="E107" s="7"/>
      <c r="F107" s="7"/>
      <c r="G107" s="1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7"/>
      <c r="B108" s="17"/>
      <c r="C108" s="7"/>
      <c r="D108" s="7"/>
      <c r="E108" s="7"/>
      <c r="F108" s="7"/>
      <c r="G108" s="1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7"/>
      <c r="B109" s="17"/>
      <c r="C109" s="7"/>
      <c r="D109" s="7"/>
      <c r="E109" s="7"/>
      <c r="F109" s="7"/>
      <c r="G109" s="1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7"/>
      <c r="B110" s="17"/>
      <c r="C110" s="7"/>
      <c r="D110" s="7"/>
      <c r="E110" s="7"/>
      <c r="F110" s="7"/>
      <c r="G110" s="1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7"/>
      <c r="B111" s="17"/>
      <c r="C111" s="7"/>
      <c r="D111" s="7"/>
      <c r="E111" s="7"/>
      <c r="F111" s="7"/>
      <c r="G111" s="1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7"/>
      <c r="B112" s="17"/>
      <c r="C112" s="7"/>
      <c r="D112" s="7"/>
      <c r="E112" s="7"/>
      <c r="F112" s="7"/>
      <c r="G112" s="1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7"/>
      <c r="B113" s="17"/>
      <c r="C113" s="7"/>
      <c r="D113" s="7"/>
      <c r="E113" s="7"/>
      <c r="F113" s="7"/>
      <c r="G113" s="1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7"/>
      <c r="B114" s="17"/>
      <c r="C114" s="7"/>
      <c r="D114" s="7"/>
      <c r="E114" s="7"/>
      <c r="F114" s="7"/>
      <c r="G114" s="1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7"/>
      <c r="B115" s="17"/>
      <c r="C115" s="7"/>
      <c r="D115" s="7"/>
      <c r="E115" s="7"/>
      <c r="F115" s="7"/>
      <c r="G115" s="1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7"/>
      <c r="B116" s="17"/>
      <c r="C116" s="7"/>
      <c r="D116" s="7"/>
      <c r="E116" s="7"/>
      <c r="F116" s="7"/>
      <c r="G116" s="1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7"/>
      <c r="B117" s="17"/>
      <c r="C117" s="7"/>
      <c r="D117" s="7"/>
      <c r="E117" s="7"/>
      <c r="F117" s="7"/>
      <c r="G117" s="1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7"/>
      <c r="B118" s="17"/>
      <c r="C118" s="7"/>
      <c r="D118" s="7"/>
      <c r="E118" s="7"/>
      <c r="F118" s="7"/>
      <c r="G118" s="1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7"/>
      <c r="B119" s="17"/>
      <c r="C119" s="7"/>
      <c r="D119" s="7"/>
      <c r="E119" s="7"/>
      <c r="F119" s="7"/>
      <c r="G119" s="1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7"/>
      <c r="B120" s="17"/>
      <c r="C120" s="7"/>
      <c r="D120" s="7"/>
      <c r="E120" s="7"/>
      <c r="F120" s="7"/>
      <c r="G120" s="1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7"/>
      <c r="B121" s="17"/>
      <c r="C121" s="7"/>
      <c r="D121" s="7"/>
      <c r="E121" s="7"/>
      <c r="F121" s="7"/>
      <c r="G121" s="1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7"/>
      <c r="B122" s="17"/>
      <c r="C122" s="7"/>
      <c r="D122" s="7"/>
      <c r="E122" s="7"/>
      <c r="F122" s="7"/>
      <c r="G122" s="1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7"/>
      <c r="B123" s="17"/>
      <c r="C123" s="7"/>
      <c r="D123" s="7"/>
      <c r="E123" s="7"/>
      <c r="F123" s="7"/>
      <c r="G123" s="1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7"/>
      <c r="B124" s="17"/>
      <c r="C124" s="7"/>
      <c r="D124" s="7"/>
      <c r="E124" s="7"/>
      <c r="F124" s="7"/>
      <c r="G124" s="1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7"/>
      <c r="B125" s="17"/>
      <c r="C125" s="7"/>
      <c r="D125" s="7"/>
      <c r="E125" s="7"/>
      <c r="F125" s="7"/>
      <c r="G125" s="1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7"/>
      <c r="B126" s="17"/>
      <c r="C126" s="7"/>
      <c r="D126" s="7"/>
      <c r="E126" s="7"/>
      <c r="F126" s="7"/>
      <c r="G126" s="1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7"/>
      <c r="B127" s="17"/>
      <c r="C127" s="7"/>
      <c r="D127" s="7"/>
      <c r="E127" s="7"/>
      <c r="F127" s="7"/>
      <c r="G127" s="1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7"/>
      <c r="B128" s="17"/>
      <c r="C128" s="7"/>
      <c r="D128" s="7"/>
      <c r="E128" s="7"/>
      <c r="F128" s="7"/>
      <c r="G128" s="1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7"/>
      <c r="B129" s="17"/>
      <c r="C129" s="7"/>
      <c r="D129" s="7"/>
      <c r="E129" s="7"/>
      <c r="F129" s="7"/>
      <c r="G129" s="1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7"/>
      <c r="B130" s="17"/>
      <c r="C130" s="7"/>
      <c r="D130" s="7"/>
      <c r="E130" s="7"/>
      <c r="F130" s="7"/>
      <c r="G130" s="1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7"/>
      <c r="B131" s="17"/>
      <c r="C131" s="7"/>
      <c r="D131" s="7"/>
      <c r="E131" s="7"/>
      <c r="F131" s="7"/>
      <c r="G131" s="1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7"/>
      <c r="B132" s="17"/>
      <c r="C132" s="7"/>
      <c r="D132" s="7"/>
      <c r="E132" s="7"/>
      <c r="F132" s="7"/>
      <c r="G132" s="1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7"/>
      <c r="B133" s="17"/>
      <c r="C133" s="7"/>
      <c r="D133" s="7"/>
      <c r="E133" s="7"/>
      <c r="F133" s="7"/>
      <c r="G133" s="1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7"/>
      <c r="B134" s="17"/>
      <c r="C134" s="7"/>
      <c r="D134" s="7"/>
      <c r="E134" s="7"/>
      <c r="F134" s="7"/>
      <c r="G134" s="1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7"/>
      <c r="B135" s="17"/>
      <c r="C135" s="7"/>
      <c r="D135" s="7"/>
      <c r="E135" s="7"/>
      <c r="F135" s="7"/>
      <c r="G135" s="1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7"/>
      <c r="B136" s="17"/>
      <c r="C136" s="7"/>
      <c r="D136" s="7"/>
      <c r="E136" s="7"/>
      <c r="F136" s="7"/>
      <c r="G136" s="1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7"/>
      <c r="B137" s="17"/>
      <c r="C137" s="7"/>
      <c r="D137" s="7"/>
      <c r="E137" s="7"/>
      <c r="F137" s="7"/>
      <c r="G137" s="1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7"/>
      <c r="B138" s="17"/>
      <c r="C138" s="7"/>
      <c r="D138" s="7"/>
      <c r="E138" s="7"/>
      <c r="F138" s="7"/>
      <c r="G138" s="1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7"/>
      <c r="B139" s="17"/>
      <c r="C139" s="7"/>
      <c r="D139" s="7"/>
      <c r="E139" s="7"/>
      <c r="F139" s="7"/>
      <c r="G139" s="1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7"/>
      <c r="B140" s="17"/>
      <c r="C140" s="7"/>
      <c r="D140" s="7"/>
      <c r="E140" s="7"/>
      <c r="F140" s="7"/>
      <c r="G140" s="1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7"/>
      <c r="B141" s="17"/>
      <c r="C141" s="7"/>
      <c r="D141" s="7"/>
      <c r="E141" s="7"/>
      <c r="F141" s="7"/>
      <c r="G141" s="1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7"/>
      <c r="B142" s="17"/>
      <c r="C142" s="7"/>
      <c r="D142" s="7"/>
      <c r="E142" s="7"/>
      <c r="F142" s="7"/>
      <c r="G142" s="1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7"/>
      <c r="B143" s="17"/>
      <c r="C143" s="7"/>
      <c r="D143" s="7"/>
      <c r="E143" s="7"/>
      <c r="F143" s="7"/>
      <c r="G143" s="1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7"/>
      <c r="B144" s="17"/>
      <c r="C144" s="7"/>
      <c r="D144" s="7"/>
      <c r="E144" s="7"/>
      <c r="F144" s="7"/>
      <c r="G144" s="1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7"/>
      <c r="B145" s="17"/>
      <c r="C145" s="7"/>
      <c r="D145" s="7"/>
      <c r="E145" s="7"/>
      <c r="F145" s="7"/>
      <c r="G145" s="1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7"/>
      <c r="B146" s="17"/>
      <c r="C146" s="7"/>
      <c r="D146" s="7"/>
      <c r="E146" s="7"/>
      <c r="F146" s="7"/>
      <c r="G146" s="1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7"/>
      <c r="B147" s="17"/>
      <c r="C147" s="7"/>
      <c r="D147" s="7"/>
      <c r="E147" s="7"/>
      <c r="F147" s="7"/>
      <c r="G147" s="1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7"/>
      <c r="B148" s="17"/>
      <c r="C148" s="7"/>
      <c r="D148" s="7"/>
      <c r="E148" s="7"/>
      <c r="F148" s="7"/>
      <c r="G148" s="1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7"/>
      <c r="B149" s="17"/>
      <c r="C149" s="7"/>
      <c r="D149" s="7"/>
      <c r="E149" s="7"/>
      <c r="F149" s="7"/>
      <c r="G149" s="1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7"/>
      <c r="B150" s="17"/>
      <c r="C150" s="7"/>
      <c r="D150" s="7"/>
      <c r="E150" s="7"/>
      <c r="F150" s="7"/>
      <c r="G150" s="1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7"/>
      <c r="B151" s="17"/>
      <c r="C151" s="7"/>
      <c r="D151" s="7"/>
      <c r="E151" s="7"/>
      <c r="F151" s="7"/>
      <c r="G151" s="1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7"/>
      <c r="B152" s="17"/>
      <c r="C152" s="7"/>
      <c r="D152" s="7"/>
      <c r="E152" s="7"/>
      <c r="F152" s="7"/>
      <c r="G152" s="1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7"/>
      <c r="B153" s="17"/>
      <c r="C153" s="7"/>
      <c r="D153" s="7"/>
      <c r="E153" s="7"/>
      <c r="F153" s="7"/>
      <c r="G153" s="1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7"/>
      <c r="B154" s="17"/>
      <c r="C154" s="7"/>
      <c r="D154" s="7"/>
      <c r="E154" s="7"/>
      <c r="F154" s="7"/>
      <c r="G154" s="1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7"/>
      <c r="B155" s="17"/>
      <c r="C155" s="7"/>
      <c r="D155" s="7"/>
      <c r="E155" s="7"/>
      <c r="F155" s="7"/>
      <c r="G155" s="1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7"/>
      <c r="B156" s="17"/>
      <c r="C156" s="7"/>
      <c r="D156" s="7"/>
      <c r="E156" s="7"/>
      <c r="F156" s="7"/>
      <c r="G156" s="1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7"/>
      <c r="B157" s="17"/>
      <c r="C157" s="7"/>
      <c r="D157" s="7"/>
      <c r="E157" s="7"/>
      <c r="F157" s="7"/>
      <c r="G157" s="1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7"/>
      <c r="B158" s="17"/>
      <c r="C158" s="7"/>
      <c r="D158" s="7"/>
      <c r="E158" s="7"/>
      <c r="F158" s="7"/>
      <c r="G158" s="1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7"/>
      <c r="B159" s="17"/>
      <c r="C159" s="7"/>
      <c r="D159" s="7"/>
      <c r="E159" s="7"/>
      <c r="F159" s="7"/>
      <c r="G159" s="1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7"/>
      <c r="B160" s="17"/>
      <c r="C160" s="7"/>
      <c r="D160" s="7"/>
      <c r="E160" s="7"/>
      <c r="F160" s="7"/>
      <c r="G160" s="1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7"/>
      <c r="B161" s="17"/>
      <c r="C161" s="7"/>
      <c r="D161" s="7"/>
      <c r="E161" s="7"/>
      <c r="F161" s="7"/>
      <c r="G161" s="1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7"/>
      <c r="B162" s="17"/>
      <c r="C162" s="7"/>
      <c r="D162" s="7"/>
      <c r="E162" s="7"/>
      <c r="F162" s="7"/>
      <c r="G162" s="1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7"/>
      <c r="B163" s="17"/>
      <c r="C163" s="7"/>
      <c r="D163" s="7"/>
      <c r="E163" s="7"/>
      <c r="F163" s="7"/>
      <c r="G163" s="1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7"/>
      <c r="B164" s="17"/>
      <c r="C164" s="7"/>
      <c r="D164" s="7"/>
      <c r="E164" s="7"/>
      <c r="F164" s="7"/>
      <c r="G164" s="1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7"/>
      <c r="B165" s="17"/>
      <c r="C165" s="7"/>
      <c r="D165" s="7"/>
      <c r="E165" s="7"/>
      <c r="F165" s="7"/>
      <c r="G165" s="1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7"/>
      <c r="B166" s="17"/>
      <c r="C166" s="7"/>
      <c r="D166" s="7"/>
      <c r="E166" s="7"/>
      <c r="F166" s="7"/>
      <c r="G166" s="1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7"/>
      <c r="B167" s="17"/>
      <c r="C167" s="7"/>
      <c r="D167" s="7"/>
      <c r="E167" s="7"/>
      <c r="F167" s="7"/>
      <c r="G167" s="1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7"/>
      <c r="B168" s="17"/>
      <c r="C168" s="7"/>
      <c r="D168" s="7"/>
      <c r="E168" s="7"/>
      <c r="F168" s="7"/>
      <c r="G168" s="1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7"/>
      <c r="B169" s="17"/>
      <c r="C169" s="7"/>
      <c r="D169" s="7"/>
      <c r="E169" s="7"/>
      <c r="F169" s="7"/>
      <c r="G169" s="1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7"/>
      <c r="B170" s="17"/>
      <c r="C170" s="7"/>
      <c r="D170" s="7"/>
      <c r="E170" s="7"/>
      <c r="F170" s="7"/>
      <c r="G170" s="1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7"/>
      <c r="B171" s="17"/>
      <c r="C171" s="7"/>
      <c r="D171" s="7"/>
      <c r="E171" s="7"/>
      <c r="F171" s="7"/>
      <c r="G171" s="1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7"/>
      <c r="B172" s="17"/>
      <c r="C172" s="7"/>
      <c r="D172" s="7"/>
      <c r="E172" s="7"/>
      <c r="F172" s="7"/>
      <c r="G172" s="1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7"/>
      <c r="B173" s="17"/>
      <c r="C173" s="7"/>
      <c r="D173" s="7"/>
      <c r="E173" s="7"/>
      <c r="F173" s="7"/>
      <c r="G173" s="1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7"/>
      <c r="B174" s="17"/>
      <c r="C174" s="7"/>
      <c r="D174" s="7"/>
      <c r="E174" s="7"/>
      <c r="F174" s="7"/>
      <c r="G174" s="1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7"/>
      <c r="B175" s="17"/>
      <c r="C175" s="7"/>
      <c r="D175" s="7"/>
      <c r="E175" s="7"/>
      <c r="F175" s="7"/>
      <c r="G175" s="1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7"/>
      <c r="B176" s="17"/>
      <c r="C176" s="7"/>
      <c r="D176" s="7"/>
      <c r="E176" s="7"/>
      <c r="F176" s="7"/>
      <c r="G176" s="1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7"/>
      <c r="B177" s="17"/>
      <c r="C177" s="7"/>
      <c r="D177" s="7"/>
      <c r="E177" s="7"/>
      <c r="F177" s="7"/>
      <c r="G177" s="1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7"/>
      <c r="B178" s="17"/>
      <c r="C178" s="7"/>
      <c r="D178" s="7"/>
      <c r="E178" s="7"/>
      <c r="F178" s="7"/>
      <c r="G178" s="1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7"/>
      <c r="B179" s="17"/>
      <c r="C179" s="7"/>
      <c r="D179" s="7"/>
      <c r="E179" s="7"/>
      <c r="F179" s="7"/>
      <c r="G179" s="1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7"/>
      <c r="B180" s="17"/>
      <c r="C180" s="7"/>
      <c r="D180" s="7"/>
      <c r="E180" s="7"/>
      <c r="F180" s="7"/>
      <c r="G180" s="1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7"/>
      <c r="B181" s="17"/>
      <c r="C181" s="7"/>
      <c r="D181" s="7"/>
      <c r="E181" s="7"/>
      <c r="F181" s="7"/>
      <c r="G181" s="1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7"/>
      <c r="B182" s="17"/>
      <c r="C182" s="7"/>
      <c r="D182" s="7"/>
      <c r="E182" s="7"/>
      <c r="F182" s="7"/>
      <c r="G182" s="1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7"/>
      <c r="B183" s="17"/>
      <c r="C183" s="7"/>
      <c r="D183" s="7"/>
      <c r="E183" s="7"/>
      <c r="F183" s="7"/>
      <c r="G183" s="1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7"/>
      <c r="B184" s="17"/>
      <c r="C184" s="7"/>
      <c r="D184" s="7"/>
      <c r="E184" s="7"/>
      <c r="F184" s="7"/>
      <c r="G184" s="1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7"/>
      <c r="B185" s="17"/>
      <c r="C185" s="7"/>
      <c r="D185" s="7"/>
      <c r="E185" s="7"/>
      <c r="F185" s="7"/>
      <c r="G185" s="1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7"/>
      <c r="B186" s="17"/>
      <c r="C186" s="7"/>
      <c r="D186" s="7"/>
      <c r="E186" s="7"/>
      <c r="F186" s="7"/>
      <c r="G186" s="1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7"/>
      <c r="B187" s="17"/>
      <c r="C187" s="7"/>
      <c r="D187" s="7"/>
      <c r="E187" s="7"/>
      <c r="F187" s="7"/>
      <c r="G187" s="1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7"/>
      <c r="B188" s="17"/>
      <c r="C188" s="7"/>
      <c r="D188" s="7"/>
      <c r="E188" s="7"/>
      <c r="F188" s="7"/>
      <c r="G188" s="1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7"/>
      <c r="B189" s="17"/>
      <c r="C189" s="7"/>
      <c r="D189" s="7"/>
      <c r="E189" s="7"/>
      <c r="F189" s="7"/>
      <c r="G189" s="1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7"/>
      <c r="B190" s="17"/>
      <c r="C190" s="7"/>
      <c r="D190" s="7"/>
      <c r="E190" s="7"/>
      <c r="F190" s="7"/>
      <c r="G190" s="1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7"/>
      <c r="B191" s="17"/>
      <c r="C191" s="7"/>
      <c r="D191" s="7"/>
      <c r="E191" s="7"/>
      <c r="F191" s="7"/>
      <c r="G191" s="1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7"/>
      <c r="B192" s="17"/>
      <c r="C192" s="7"/>
      <c r="D192" s="7"/>
      <c r="E192" s="7"/>
      <c r="F192" s="7"/>
      <c r="G192" s="1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7"/>
      <c r="B193" s="17"/>
      <c r="C193" s="7"/>
      <c r="D193" s="7"/>
      <c r="E193" s="7"/>
      <c r="F193" s="7"/>
      <c r="G193" s="1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7"/>
      <c r="B194" s="17"/>
      <c r="C194" s="7"/>
      <c r="D194" s="7"/>
      <c r="E194" s="7"/>
      <c r="F194" s="7"/>
      <c r="G194" s="1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7"/>
      <c r="B195" s="17"/>
      <c r="C195" s="7"/>
      <c r="D195" s="7"/>
      <c r="E195" s="7"/>
      <c r="F195" s="7"/>
      <c r="G195" s="1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7"/>
      <c r="B196" s="17"/>
      <c r="C196" s="7"/>
      <c r="D196" s="7"/>
      <c r="E196" s="7"/>
      <c r="F196" s="7"/>
      <c r="G196" s="1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7"/>
      <c r="B197" s="17"/>
      <c r="C197" s="7"/>
      <c r="D197" s="7"/>
      <c r="E197" s="7"/>
      <c r="F197" s="7"/>
      <c r="G197" s="1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7"/>
      <c r="B198" s="17"/>
      <c r="C198" s="7"/>
      <c r="D198" s="7"/>
      <c r="E198" s="7"/>
      <c r="F198" s="7"/>
      <c r="G198" s="1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7"/>
      <c r="B199" s="17"/>
      <c r="C199" s="7"/>
      <c r="D199" s="7"/>
      <c r="E199" s="7"/>
      <c r="F199" s="7"/>
      <c r="G199" s="1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7"/>
      <c r="B200" s="17"/>
      <c r="C200" s="7"/>
      <c r="D200" s="7"/>
      <c r="E200" s="7"/>
      <c r="F200" s="7"/>
      <c r="G200" s="1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7"/>
      <c r="B201" s="17"/>
      <c r="C201" s="7"/>
      <c r="D201" s="7"/>
      <c r="E201" s="7"/>
      <c r="F201" s="7"/>
      <c r="G201" s="1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7"/>
      <c r="B202" s="17"/>
      <c r="C202" s="7"/>
      <c r="D202" s="7"/>
      <c r="E202" s="7"/>
      <c r="F202" s="7"/>
      <c r="G202" s="1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7"/>
      <c r="B203" s="17"/>
      <c r="C203" s="7"/>
      <c r="D203" s="7"/>
      <c r="E203" s="7"/>
      <c r="F203" s="7"/>
      <c r="G203" s="1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7"/>
      <c r="B204" s="17"/>
      <c r="C204" s="7"/>
      <c r="D204" s="7"/>
      <c r="E204" s="7"/>
      <c r="F204" s="7"/>
      <c r="G204" s="1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7"/>
      <c r="B205" s="17"/>
      <c r="C205" s="7"/>
      <c r="D205" s="7"/>
      <c r="E205" s="7"/>
      <c r="F205" s="7"/>
      <c r="G205" s="1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7"/>
      <c r="B206" s="17"/>
      <c r="C206" s="7"/>
      <c r="D206" s="7"/>
      <c r="E206" s="7"/>
      <c r="F206" s="7"/>
      <c r="G206" s="1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7"/>
      <c r="B207" s="17"/>
      <c r="C207" s="7"/>
      <c r="D207" s="7"/>
      <c r="E207" s="7"/>
      <c r="F207" s="7"/>
      <c r="G207" s="1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7"/>
      <c r="B208" s="17"/>
      <c r="C208" s="7"/>
      <c r="D208" s="7"/>
      <c r="E208" s="7"/>
      <c r="F208" s="7"/>
      <c r="G208" s="1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7"/>
      <c r="B209" s="17"/>
      <c r="C209" s="7"/>
      <c r="D209" s="7"/>
      <c r="E209" s="7"/>
      <c r="F209" s="7"/>
      <c r="G209" s="1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7"/>
      <c r="B210" s="17"/>
      <c r="C210" s="7"/>
      <c r="D210" s="7"/>
      <c r="E210" s="7"/>
      <c r="F210" s="7"/>
      <c r="G210" s="1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7"/>
      <c r="B211" s="17"/>
      <c r="C211" s="7"/>
      <c r="D211" s="7"/>
      <c r="E211" s="7"/>
      <c r="F211" s="7"/>
      <c r="G211" s="1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7"/>
      <c r="B212" s="17"/>
      <c r="C212" s="7"/>
      <c r="D212" s="7"/>
      <c r="E212" s="7"/>
      <c r="F212" s="7"/>
      <c r="G212" s="1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7"/>
      <c r="B213" s="17"/>
      <c r="C213" s="7"/>
      <c r="D213" s="7"/>
      <c r="E213" s="7"/>
      <c r="F213" s="7"/>
      <c r="G213" s="1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7"/>
      <c r="B214" s="17"/>
      <c r="C214" s="7"/>
      <c r="D214" s="7"/>
      <c r="E214" s="7"/>
      <c r="F214" s="7"/>
      <c r="G214" s="1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7"/>
      <c r="B215" s="17"/>
      <c r="C215" s="7"/>
      <c r="D215" s="7"/>
      <c r="E215" s="7"/>
      <c r="F215" s="7"/>
      <c r="G215" s="1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7"/>
      <c r="B216" s="17"/>
      <c r="C216" s="7"/>
      <c r="D216" s="7"/>
      <c r="E216" s="7"/>
      <c r="F216" s="7"/>
      <c r="G216" s="1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7"/>
      <c r="B217" s="17"/>
      <c r="C217" s="7"/>
      <c r="D217" s="7"/>
      <c r="E217" s="7"/>
      <c r="F217" s="7"/>
      <c r="G217" s="1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7"/>
      <c r="B218" s="17"/>
      <c r="C218" s="7"/>
      <c r="D218" s="7"/>
      <c r="E218" s="7"/>
      <c r="F218" s="7"/>
      <c r="G218" s="1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7"/>
      <c r="B219" s="17"/>
      <c r="C219" s="7"/>
      <c r="D219" s="7"/>
      <c r="E219" s="7"/>
      <c r="F219" s="7"/>
      <c r="G219" s="1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7"/>
      <c r="B220" s="17"/>
      <c r="C220" s="7"/>
      <c r="D220" s="7"/>
      <c r="E220" s="7"/>
      <c r="F220" s="7"/>
      <c r="G220" s="1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7"/>
      <c r="B221" s="17"/>
      <c r="C221" s="7"/>
      <c r="D221" s="7"/>
      <c r="E221" s="7"/>
      <c r="F221" s="7"/>
      <c r="G221" s="1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7"/>
      <c r="B222" s="17"/>
      <c r="C222" s="7"/>
      <c r="D222" s="7"/>
      <c r="E222" s="7"/>
      <c r="F222" s="7"/>
      <c r="G222" s="1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7"/>
      <c r="B223" s="17"/>
      <c r="C223" s="7"/>
      <c r="D223" s="7"/>
      <c r="E223" s="7"/>
      <c r="F223" s="7"/>
      <c r="G223" s="1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7"/>
      <c r="B224" s="17"/>
      <c r="C224" s="7"/>
      <c r="D224" s="7"/>
      <c r="E224" s="7"/>
      <c r="F224" s="7"/>
      <c r="G224" s="1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7"/>
      <c r="B225" s="17"/>
      <c r="C225" s="7"/>
      <c r="D225" s="7"/>
      <c r="E225" s="7"/>
      <c r="F225" s="7"/>
      <c r="G225" s="1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7"/>
      <c r="B226" s="17"/>
      <c r="C226" s="7"/>
      <c r="D226" s="7"/>
      <c r="E226" s="7"/>
      <c r="F226" s="7"/>
      <c r="G226" s="1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7"/>
      <c r="B227" s="17"/>
      <c r="C227" s="7"/>
      <c r="D227" s="7"/>
      <c r="E227" s="7"/>
      <c r="F227" s="7"/>
      <c r="G227" s="1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7"/>
      <c r="B228" s="17"/>
      <c r="C228" s="7"/>
      <c r="D228" s="7"/>
      <c r="E228" s="7"/>
      <c r="F228" s="7"/>
      <c r="G228" s="1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7"/>
      <c r="B229" s="17"/>
      <c r="C229" s="7"/>
      <c r="D229" s="7"/>
      <c r="E229" s="7"/>
      <c r="F229" s="7"/>
      <c r="G229" s="1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7"/>
      <c r="B230" s="17"/>
      <c r="C230" s="7"/>
      <c r="D230" s="7"/>
      <c r="E230" s="7"/>
      <c r="F230" s="7"/>
      <c r="G230" s="1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7"/>
      <c r="B231" s="17"/>
      <c r="C231" s="7"/>
      <c r="D231" s="7"/>
      <c r="E231" s="7"/>
      <c r="F231" s="7"/>
      <c r="G231" s="1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7"/>
      <c r="B232" s="17"/>
      <c r="C232" s="7"/>
      <c r="D232" s="7"/>
      <c r="E232" s="7"/>
      <c r="F232" s="7"/>
      <c r="G232" s="1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7"/>
      <c r="B233" s="17"/>
      <c r="C233" s="7"/>
      <c r="D233" s="7"/>
      <c r="E233" s="7"/>
      <c r="F233" s="7"/>
      <c r="G233" s="1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7"/>
      <c r="B234" s="17"/>
      <c r="C234" s="7"/>
      <c r="D234" s="7"/>
      <c r="E234" s="7"/>
      <c r="F234" s="7"/>
      <c r="G234" s="1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7"/>
      <c r="B235" s="17"/>
      <c r="C235" s="7"/>
      <c r="D235" s="7"/>
      <c r="E235" s="7"/>
      <c r="F235" s="7"/>
      <c r="G235" s="1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7"/>
      <c r="B236" s="17"/>
      <c r="C236" s="7"/>
      <c r="D236" s="7"/>
      <c r="E236" s="7"/>
      <c r="F236" s="7"/>
      <c r="G236" s="1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7"/>
      <c r="B237" s="17"/>
      <c r="C237" s="7"/>
      <c r="D237" s="7"/>
      <c r="E237" s="7"/>
      <c r="F237" s="7"/>
      <c r="G237" s="1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G238" s="16"/>
    </row>
    <row r="239" ht="15.75" customHeight="1">
      <c r="G239" s="16"/>
    </row>
    <row r="240" ht="15.75" customHeight="1">
      <c r="G240" s="16"/>
    </row>
    <row r="241" ht="15.75" customHeight="1">
      <c r="G241" s="16"/>
    </row>
    <row r="242" ht="15.75" customHeight="1">
      <c r="G242" s="16"/>
    </row>
    <row r="243" ht="15.75" customHeight="1">
      <c r="G243" s="16"/>
    </row>
    <row r="244" ht="15.75" customHeight="1">
      <c r="G244" s="16"/>
    </row>
    <row r="245" ht="15.75" customHeight="1">
      <c r="G245" s="16"/>
    </row>
    <row r="246" ht="15.75" customHeight="1">
      <c r="G246" s="16"/>
    </row>
    <row r="247" ht="15.75" customHeight="1">
      <c r="G247" s="16"/>
    </row>
    <row r="248" ht="15.75" customHeight="1">
      <c r="G248" s="16"/>
    </row>
    <row r="249" ht="15.75" customHeight="1">
      <c r="G249" s="16"/>
    </row>
    <row r="250" ht="15.75" customHeight="1">
      <c r="G250" s="16"/>
    </row>
    <row r="251" ht="15.75" customHeight="1">
      <c r="G251" s="16"/>
    </row>
    <row r="252" ht="15.75" customHeight="1">
      <c r="G252" s="16"/>
    </row>
    <row r="253" ht="15.75" customHeight="1">
      <c r="G253" s="16"/>
    </row>
    <row r="254" ht="15.75" customHeight="1">
      <c r="G254" s="16"/>
    </row>
    <row r="255" ht="15.75" customHeight="1">
      <c r="G255" s="16"/>
    </row>
    <row r="256" ht="15.75" customHeight="1">
      <c r="G256" s="16"/>
    </row>
    <row r="257" ht="15.75" customHeight="1">
      <c r="G257" s="16"/>
    </row>
    <row r="258" ht="15.75" customHeight="1">
      <c r="G258" s="16"/>
    </row>
    <row r="259" ht="15.75" customHeight="1">
      <c r="G259" s="16"/>
    </row>
    <row r="260" ht="15.75" customHeight="1">
      <c r="G260" s="16"/>
    </row>
    <row r="261" ht="15.75" customHeight="1">
      <c r="G261" s="16"/>
    </row>
    <row r="262" ht="15.75" customHeight="1">
      <c r="G262" s="16"/>
    </row>
    <row r="263" ht="15.75" customHeight="1">
      <c r="G263" s="16"/>
    </row>
    <row r="264" ht="15.75" customHeight="1">
      <c r="G264" s="16"/>
    </row>
    <row r="265" ht="15.75" customHeight="1">
      <c r="G265" s="16"/>
    </row>
    <row r="266" ht="15.75" customHeight="1">
      <c r="G266" s="16"/>
    </row>
    <row r="267" ht="15.75" customHeight="1">
      <c r="G267" s="16"/>
    </row>
    <row r="268" ht="15.75" customHeight="1">
      <c r="G268" s="16"/>
    </row>
    <row r="269" ht="15.75" customHeight="1">
      <c r="G269" s="16"/>
    </row>
    <row r="270" ht="15.75" customHeight="1">
      <c r="G270" s="16"/>
    </row>
    <row r="271" ht="15.75" customHeight="1">
      <c r="G271" s="16"/>
    </row>
    <row r="272" ht="15.75" customHeight="1">
      <c r="G272" s="16"/>
    </row>
    <row r="273" ht="15.75" customHeight="1">
      <c r="G273" s="16"/>
    </row>
    <row r="274" ht="15.75" customHeight="1">
      <c r="G274" s="16"/>
    </row>
    <row r="275" ht="15.75" customHeight="1">
      <c r="G275" s="16"/>
    </row>
    <row r="276" ht="15.75" customHeight="1">
      <c r="G276" s="16"/>
    </row>
    <row r="277" ht="15.75" customHeight="1">
      <c r="G277" s="16"/>
    </row>
    <row r="278" ht="15.75" customHeight="1">
      <c r="G278" s="16"/>
    </row>
    <row r="279" ht="15.75" customHeight="1">
      <c r="G279" s="16"/>
    </row>
    <row r="280" ht="15.75" customHeight="1">
      <c r="G280" s="16"/>
    </row>
    <row r="281" ht="15.75" customHeight="1">
      <c r="G281" s="16"/>
    </row>
    <row r="282" ht="15.75" customHeight="1">
      <c r="G282" s="16"/>
    </row>
    <row r="283" ht="15.75" customHeight="1">
      <c r="G283" s="16"/>
    </row>
    <row r="284" ht="15.75" customHeight="1">
      <c r="G284" s="16"/>
    </row>
    <row r="285" ht="15.75" customHeight="1">
      <c r="G285" s="16"/>
    </row>
    <row r="286" ht="15.75" customHeight="1">
      <c r="G286" s="16"/>
    </row>
    <row r="287" ht="15.75" customHeight="1">
      <c r="G287" s="16"/>
    </row>
    <row r="288" ht="15.75" customHeight="1">
      <c r="G288" s="16"/>
    </row>
    <row r="289" ht="15.75" customHeight="1">
      <c r="G289" s="16"/>
    </row>
    <row r="290" ht="15.75" customHeight="1">
      <c r="G290" s="16"/>
    </row>
    <row r="291" ht="15.75" customHeight="1">
      <c r="G291" s="16"/>
    </row>
    <row r="292" ht="15.75" customHeight="1">
      <c r="G292" s="16"/>
    </row>
    <row r="293" ht="15.75" customHeight="1">
      <c r="G293" s="16"/>
    </row>
    <row r="294" ht="15.75" customHeight="1">
      <c r="G294" s="16"/>
    </row>
    <row r="295" ht="15.75" customHeight="1">
      <c r="G295" s="16"/>
    </row>
    <row r="296" ht="15.75" customHeight="1">
      <c r="G296" s="16"/>
    </row>
    <row r="297" ht="15.75" customHeight="1">
      <c r="G297" s="16"/>
    </row>
    <row r="298" ht="15.75" customHeight="1">
      <c r="G298" s="16"/>
    </row>
    <row r="299" ht="15.75" customHeight="1">
      <c r="G299" s="16"/>
    </row>
    <row r="300" ht="15.75" customHeight="1">
      <c r="G300" s="16"/>
    </row>
    <row r="301" ht="15.75" customHeight="1">
      <c r="G301" s="16"/>
    </row>
    <row r="302" ht="15.75" customHeight="1">
      <c r="G302" s="16"/>
    </row>
    <row r="303" ht="15.75" customHeight="1">
      <c r="G303" s="16"/>
    </row>
    <row r="304" ht="15.75" customHeight="1">
      <c r="G304" s="16"/>
    </row>
    <row r="305" ht="15.75" customHeight="1">
      <c r="G305" s="16"/>
    </row>
    <row r="306" ht="15.75" customHeight="1">
      <c r="G306" s="16"/>
    </row>
    <row r="307" ht="15.75" customHeight="1">
      <c r="G307" s="16"/>
    </row>
    <row r="308" ht="15.75" customHeight="1">
      <c r="G308" s="16"/>
    </row>
    <row r="309" ht="15.75" customHeight="1">
      <c r="G309" s="16"/>
    </row>
    <row r="310" ht="15.75" customHeight="1">
      <c r="G310" s="16"/>
    </row>
    <row r="311" ht="15.75" customHeight="1">
      <c r="G311" s="16"/>
    </row>
    <row r="312" ht="15.75" customHeight="1">
      <c r="G312" s="16"/>
    </row>
    <row r="313" ht="15.75" customHeight="1">
      <c r="G313" s="16"/>
    </row>
    <row r="314" ht="15.75" customHeight="1">
      <c r="G314" s="16"/>
    </row>
    <row r="315" ht="15.75" customHeight="1">
      <c r="G315" s="16"/>
    </row>
    <row r="316" ht="15.75" customHeight="1">
      <c r="G316" s="16"/>
    </row>
    <row r="317" ht="15.75" customHeight="1">
      <c r="G317" s="16"/>
    </row>
    <row r="318" ht="15.75" customHeight="1">
      <c r="G318" s="16"/>
    </row>
    <row r="319" ht="15.75" customHeight="1">
      <c r="G319" s="16"/>
    </row>
    <row r="320" ht="15.75" customHeight="1">
      <c r="G320" s="16"/>
    </row>
    <row r="321" ht="15.75" customHeight="1">
      <c r="G321" s="16"/>
    </row>
    <row r="322" ht="15.75" customHeight="1">
      <c r="G322" s="16"/>
    </row>
    <row r="323" ht="15.75" customHeight="1">
      <c r="G323" s="16"/>
    </row>
    <row r="324" ht="15.75" customHeight="1">
      <c r="G324" s="16"/>
    </row>
    <row r="325" ht="15.75" customHeight="1">
      <c r="G325" s="16"/>
    </row>
    <row r="326" ht="15.75" customHeight="1">
      <c r="G326" s="16"/>
    </row>
    <row r="327" ht="15.75" customHeight="1">
      <c r="G327" s="16"/>
    </row>
    <row r="328" ht="15.75" customHeight="1">
      <c r="G328" s="16"/>
    </row>
    <row r="329" ht="15.75" customHeight="1">
      <c r="G329" s="16"/>
    </row>
    <row r="330" ht="15.75" customHeight="1">
      <c r="G330" s="16"/>
    </row>
    <row r="331" ht="15.75" customHeight="1">
      <c r="G331" s="16"/>
    </row>
    <row r="332" ht="15.75" customHeight="1">
      <c r="G332" s="16"/>
    </row>
    <row r="333" ht="15.75" customHeight="1">
      <c r="G333" s="16"/>
    </row>
    <row r="334" ht="15.75" customHeight="1">
      <c r="G334" s="16"/>
    </row>
    <row r="335" ht="15.75" customHeight="1">
      <c r="G335" s="16"/>
    </row>
    <row r="336" ht="15.75" customHeight="1">
      <c r="G336" s="16"/>
    </row>
    <row r="337" ht="15.75" customHeight="1">
      <c r="G337" s="16"/>
    </row>
    <row r="338" ht="15.75" customHeight="1">
      <c r="G338" s="16"/>
    </row>
    <row r="339" ht="15.75" customHeight="1">
      <c r="G339" s="16"/>
    </row>
    <row r="340" ht="15.75" customHeight="1">
      <c r="G340" s="16"/>
    </row>
    <row r="341" ht="15.75" customHeight="1">
      <c r="G341" s="16"/>
    </row>
    <row r="342" ht="15.75" customHeight="1">
      <c r="G342" s="16"/>
    </row>
    <row r="343" ht="15.75" customHeight="1">
      <c r="G343" s="16"/>
    </row>
    <row r="344" ht="15.75" customHeight="1">
      <c r="G344" s="16"/>
    </row>
    <row r="345" ht="15.75" customHeight="1">
      <c r="G345" s="16"/>
    </row>
    <row r="346" ht="15.75" customHeight="1">
      <c r="G346" s="16"/>
    </row>
    <row r="347" ht="15.75" customHeight="1">
      <c r="G347" s="16"/>
    </row>
    <row r="348" ht="15.75" customHeight="1">
      <c r="G348" s="16"/>
    </row>
    <row r="349" ht="15.75" customHeight="1">
      <c r="G349" s="16"/>
    </row>
    <row r="350" ht="15.75" customHeight="1">
      <c r="G350" s="16"/>
    </row>
    <row r="351" ht="15.75" customHeight="1">
      <c r="G351" s="16"/>
    </row>
    <row r="352" ht="15.75" customHeight="1">
      <c r="G352" s="16"/>
    </row>
    <row r="353" ht="15.75" customHeight="1">
      <c r="G353" s="16"/>
    </row>
    <row r="354" ht="15.75" customHeight="1">
      <c r="G354" s="16"/>
    </row>
    <row r="355" ht="15.75" customHeight="1">
      <c r="G355" s="16"/>
    </row>
    <row r="356" ht="15.75" customHeight="1">
      <c r="G356" s="16"/>
    </row>
    <row r="357" ht="15.75" customHeight="1">
      <c r="G357" s="16"/>
    </row>
    <row r="358" ht="15.75" customHeight="1">
      <c r="G358" s="16"/>
    </row>
    <row r="359" ht="15.75" customHeight="1">
      <c r="G359" s="16"/>
    </row>
    <row r="360" ht="15.75" customHeight="1">
      <c r="G360" s="16"/>
    </row>
    <row r="361" ht="15.75" customHeight="1">
      <c r="G361" s="16"/>
    </row>
    <row r="362" ht="15.75" customHeight="1">
      <c r="G362" s="16"/>
    </row>
    <row r="363" ht="15.75" customHeight="1">
      <c r="G363" s="16"/>
    </row>
    <row r="364" ht="15.75" customHeight="1">
      <c r="G364" s="16"/>
    </row>
    <row r="365" ht="15.75" customHeight="1">
      <c r="G365" s="16"/>
    </row>
    <row r="366" ht="15.75" customHeight="1">
      <c r="G366" s="16"/>
    </row>
    <row r="367" ht="15.75" customHeight="1">
      <c r="G367" s="16"/>
    </row>
    <row r="368" ht="15.75" customHeight="1">
      <c r="G368" s="16"/>
    </row>
    <row r="369" ht="15.75" customHeight="1">
      <c r="G369" s="16"/>
    </row>
    <row r="370" ht="15.75" customHeight="1">
      <c r="G370" s="16"/>
    </row>
    <row r="371" ht="15.75" customHeight="1">
      <c r="G371" s="16"/>
    </row>
    <row r="372" ht="15.75" customHeight="1">
      <c r="G372" s="16"/>
    </row>
    <row r="373" ht="15.75" customHeight="1">
      <c r="G373" s="16"/>
    </row>
    <row r="374" ht="15.75" customHeight="1">
      <c r="G374" s="16"/>
    </row>
    <row r="375" ht="15.75" customHeight="1">
      <c r="G375" s="16"/>
    </row>
    <row r="376" ht="15.75" customHeight="1">
      <c r="G376" s="16"/>
    </row>
    <row r="377" ht="15.75" customHeight="1">
      <c r="G377" s="16"/>
    </row>
    <row r="378" ht="15.75" customHeight="1">
      <c r="G378" s="16"/>
    </row>
    <row r="379" ht="15.75" customHeight="1">
      <c r="G379" s="16"/>
    </row>
    <row r="380" ht="15.75" customHeight="1">
      <c r="G380" s="16"/>
    </row>
    <row r="381" ht="15.75" customHeight="1">
      <c r="G381" s="16"/>
    </row>
    <row r="382" ht="15.75" customHeight="1">
      <c r="G382" s="16"/>
    </row>
    <row r="383" ht="15.75" customHeight="1">
      <c r="G383" s="16"/>
    </row>
    <row r="384" ht="15.75" customHeight="1">
      <c r="G384" s="16"/>
    </row>
    <row r="385" ht="15.75" customHeight="1">
      <c r="G385" s="16"/>
    </row>
    <row r="386" ht="15.75" customHeight="1">
      <c r="G386" s="16"/>
    </row>
    <row r="387" ht="15.75" customHeight="1">
      <c r="G387" s="16"/>
    </row>
    <row r="388" ht="15.75" customHeight="1">
      <c r="G388" s="16"/>
    </row>
    <row r="389" ht="15.75" customHeight="1">
      <c r="G389" s="16"/>
    </row>
    <row r="390" ht="15.75" customHeight="1">
      <c r="G390" s="16"/>
    </row>
    <row r="391" ht="15.75" customHeight="1">
      <c r="G391" s="16"/>
    </row>
    <row r="392" ht="15.75" customHeight="1">
      <c r="G392" s="16"/>
    </row>
    <row r="393" ht="15.75" customHeight="1">
      <c r="G393" s="16"/>
    </row>
    <row r="394" ht="15.75" customHeight="1">
      <c r="G394" s="16"/>
    </row>
    <row r="395" ht="15.75" customHeight="1">
      <c r="G395" s="16"/>
    </row>
    <row r="396" ht="15.75" customHeight="1">
      <c r="G396" s="16"/>
    </row>
    <row r="397" ht="15.75" customHeight="1">
      <c r="G397" s="16"/>
    </row>
    <row r="398" ht="15.75" customHeight="1">
      <c r="G398" s="16"/>
    </row>
    <row r="399" ht="15.75" customHeight="1">
      <c r="G399" s="16"/>
    </row>
    <row r="400" ht="15.75" customHeight="1">
      <c r="G400" s="16"/>
    </row>
    <row r="401" ht="15.75" customHeight="1">
      <c r="G401" s="16"/>
    </row>
    <row r="402" ht="15.75" customHeight="1">
      <c r="G402" s="16"/>
    </row>
    <row r="403" ht="15.75" customHeight="1">
      <c r="G403" s="16"/>
    </row>
    <row r="404" ht="15.75" customHeight="1">
      <c r="G404" s="16"/>
    </row>
    <row r="405" ht="15.75" customHeight="1">
      <c r="G405" s="16"/>
    </row>
    <row r="406" ht="15.75" customHeight="1">
      <c r="G406" s="16"/>
    </row>
    <row r="407" ht="15.75" customHeight="1">
      <c r="G407" s="16"/>
    </row>
    <row r="408" ht="15.75" customHeight="1">
      <c r="G408" s="16"/>
    </row>
    <row r="409" ht="15.75" customHeight="1">
      <c r="G409" s="16"/>
    </row>
    <row r="410" ht="15.75" customHeight="1">
      <c r="G410" s="16"/>
    </row>
    <row r="411" ht="15.75" customHeight="1">
      <c r="G411" s="16"/>
    </row>
    <row r="412" ht="15.75" customHeight="1">
      <c r="G412" s="16"/>
    </row>
    <row r="413" ht="15.75" customHeight="1">
      <c r="G413" s="16"/>
    </row>
    <row r="414" ht="15.75" customHeight="1">
      <c r="G414" s="16"/>
    </row>
    <row r="415" ht="15.75" customHeight="1">
      <c r="G415" s="16"/>
    </row>
    <row r="416" ht="15.75" customHeight="1">
      <c r="G416" s="16"/>
    </row>
    <row r="417" ht="15.75" customHeight="1">
      <c r="G417" s="16"/>
    </row>
    <row r="418" ht="15.75" customHeight="1">
      <c r="G418" s="16"/>
    </row>
    <row r="419" ht="15.75" customHeight="1">
      <c r="G419" s="16"/>
    </row>
    <row r="420" ht="15.75" customHeight="1">
      <c r="G420" s="16"/>
    </row>
    <row r="421" ht="15.75" customHeight="1">
      <c r="G421" s="16"/>
    </row>
    <row r="422" ht="15.75" customHeight="1">
      <c r="G422" s="16"/>
    </row>
    <row r="423" ht="15.75" customHeight="1">
      <c r="G423" s="16"/>
    </row>
    <row r="424" ht="15.75" customHeight="1">
      <c r="G424" s="16"/>
    </row>
    <row r="425" ht="15.75" customHeight="1">
      <c r="G425" s="16"/>
    </row>
    <row r="426" ht="15.75" customHeight="1">
      <c r="G426" s="16"/>
    </row>
    <row r="427" ht="15.75" customHeight="1">
      <c r="G427" s="16"/>
    </row>
    <row r="428" ht="15.75" customHeight="1">
      <c r="G428" s="16"/>
    </row>
    <row r="429" ht="15.75" customHeight="1">
      <c r="G429" s="16"/>
    </row>
    <row r="430" ht="15.75" customHeight="1">
      <c r="G430" s="16"/>
    </row>
    <row r="431" ht="15.75" customHeight="1">
      <c r="G431" s="16"/>
    </row>
    <row r="432" ht="15.75" customHeight="1">
      <c r="G432" s="16"/>
    </row>
    <row r="433" ht="15.75" customHeight="1">
      <c r="G433" s="16"/>
    </row>
    <row r="434" ht="15.75" customHeight="1">
      <c r="G434" s="16"/>
    </row>
    <row r="435" ht="15.75" customHeight="1">
      <c r="G435" s="16"/>
    </row>
    <row r="436" ht="15.75" customHeight="1">
      <c r="G436" s="16"/>
    </row>
    <row r="437" ht="15.75" customHeight="1">
      <c r="G437" s="16"/>
    </row>
    <row r="438" ht="15.75" customHeight="1">
      <c r="G438" s="16"/>
    </row>
    <row r="439" ht="15.75" customHeight="1">
      <c r="G439" s="16"/>
    </row>
    <row r="440" ht="15.75" customHeight="1">
      <c r="G440" s="16"/>
    </row>
    <row r="441" ht="15.75" customHeight="1">
      <c r="G441" s="16"/>
    </row>
    <row r="442" ht="15.75" customHeight="1">
      <c r="G442" s="16"/>
    </row>
    <row r="443" ht="15.75" customHeight="1">
      <c r="G443" s="16"/>
    </row>
    <row r="444" ht="15.75" customHeight="1">
      <c r="G444" s="16"/>
    </row>
    <row r="445" ht="15.75" customHeight="1">
      <c r="G445" s="16"/>
    </row>
    <row r="446" ht="15.75" customHeight="1">
      <c r="G446" s="16"/>
    </row>
    <row r="447" ht="15.75" customHeight="1">
      <c r="G447" s="16"/>
    </row>
    <row r="448" ht="15.75" customHeight="1">
      <c r="G448" s="16"/>
    </row>
    <row r="449" ht="15.75" customHeight="1">
      <c r="G449" s="16"/>
    </row>
    <row r="450" ht="15.75" customHeight="1">
      <c r="G450" s="16"/>
    </row>
    <row r="451" ht="15.75" customHeight="1">
      <c r="G451" s="16"/>
    </row>
    <row r="452" ht="15.75" customHeight="1">
      <c r="G452" s="16"/>
    </row>
    <row r="453" ht="15.75" customHeight="1">
      <c r="G453" s="16"/>
    </row>
    <row r="454" ht="15.75" customHeight="1">
      <c r="G454" s="16"/>
    </row>
    <row r="455" ht="15.75" customHeight="1">
      <c r="G455" s="16"/>
    </row>
    <row r="456" ht="15.75" customHeight="1">
      <c r="G456" s="16"/>
    </row>
    <row r="457" ht="15.75" customHeight="1">
      <c r="G457" s="16"/>
    </row>
    <row r="458" ht="15.75" customHeight="1">
      <c r="G458" s="16"/>
    </row>
    <row r="459" ht="15.75" customHeight="1">
      <c r="G459" s="16"/>
    </row>
    <row r="460" ht="15.75" customHeight="1">
      <c r="G460" s="16"/>
    </row>
    <row r="461" ht="15.75" customHeight="1">
      <c r="G461" s="16"/>
    </row>
    <row r="462" ht="15.75" customHeight="1">
      <c r="G462" s="16"/>
    </row>
    <row r="463" ht="15.75" customHeight="1">
      <c r="G463" s="16"/>
    </row>
    <row r="464" ht="15.75" customHeight="1">
      <c r="G464" s="16"/>
    </row>
    <row r="465" ht="15.75" customHeight="1">
      <c r="G465" s="16"/>
    </row>
    <row r="466" ht="15.75" customHeight="1">
      <c r="G466" s="16"/>
    </row>
    <row r="467" ht="15.75" customHeight="1">
      <c r="G467" s="16"/>
    </row>
    <row r="468" ht="15.75" customHeight="1">
      <c r="G468" s="16"/>
    </row>
    <row r="469" ht="15.75" customHeight="1">
      <c r="G469" s="16"/>
    </row>
    <row r="470" ht="15.75" customHeight="1">
      <c r="G470" s="16"/>
    </row>
    <row r="471" ht="15.75" customHeight="1">
      <c r="G471" s="16"/>
    </row>
    <row r="472" ht="15.75" customHeight="1">
      <c r="G472" s="16"/>
    </row>
    <row r="473" ht="15.75" customHeight="1">
      <c r="G473" s="16"/>
    </row>
    <row r="474" ht="15.75" customHeight="1">
      <c r="G474" s="16"/>
    </row>
    <row r="475" ht="15.75" customHeight="1">
      <c r="G475" s="16"/>
    </row>
    <row r="476" ht="15.75" customHeight="1">
      <c r="G476" s="16"/>
    </row>
    <row r="477" ht="15.75" customHeight="1">
      <c r="G477" s="16"/>
    </row>
    <row r="478" ht="15.75" customHeight="1">
      <c r="G478" s="16"/>
    </row>
    <row r="479" ht="15.75" customHeight="1">
      <c r="G479" s="16"/>
    </row>
    <row r="480" ht="15.75" customHeight="1">
      <c r="G480" s="16"/>
    </row>
    <row r="481" ht="15.75" customHeight="1">
      <c r="G481" s="16"/>
    </row>
    <row r="482" ht="15.75" customHeight="1">
      <c r="G482" s="16"/>
    </row>
    <row r="483" ht="15.75" customHeight="1">
      <c r="G483" s="16"/>
    </row>
    <row r="484" ht="15.75" customHeight="1">
      <c r="G484" s="16"/>
    </row>
    <row r="485" ht="15.75" customHeight="1">
      <c r="G485" s="16"/>
    </row>
    <row r="486" ht="15.75" customHeight="1">
      <c r="G486" s="16"/>
    </row>
    <row r="487" ht="15.75" customHeight="1">
      <c r="G487" s="16"/>
    </row>
    <row r="488" ht="15.75" customHeight="1">
      <c r="G488" s="16"/>
    </row>
    <row r="489" ht="15.75" customHeight="1">
      <c r="G489" s="16"/>
    </row>
    <row r="490" ht="15.75" customHeight="1">
      <c r="G490" s="16"/>
    </row>
    <row r="491" ht="15.75" customHeight="1">
      <c r="G491" s="16"/>
    </row>
    <row r="492" ht="15.75" customHeight="1">
      <c r="G492" s="16"/>
    </row>
    <row r="493" ht="15.75" customHeight="1">
      <c r="G493" s="16"/>
    </row>
    <row r="494" ht="15.75" customHeight="1">
      <c r="G494" s="16"/>
    </row>
    <row r="495" ht="15.75" customHeight="1">
      <c r="G495" s="16"/>
    </row>
    <row r="496" ht="15.75" customHeight="1">
      <c r="G496" s="16"/>
    </row>
    <row r="497" ht="15.75" customHeight="1">
      <c r="G497" s="16"/>
    </row>
    <row r="498" ht="15.75" customHeight="1">
      <c r="G498" s="16"/>
    </row>
    <row r="499" ht="15.75" customHeight="1">
      <c r="G499" s="16"/>
    </row>
    <row r="500" ht="15.75" customHeight="1">
      <c r="G500" s="16"/>
    </row>
    <row r="501" ht="15.75" customHeight="1">
      <c r="G501" s="16"/>
    </row>
    <row r="502" ht="15.75" customHeight="1">
      <c r="G502" s="16"/>
    </row>
    <row r="503" ht="15.75" customHeight="1">
      <c r="G503" s="16"/>
    </row>
    <row r="504" ht="15.75" customHeight="1">
      <c r="G504" s="16"/>
    </row>
    <row r="505" ht="15.75" customHeight="1">
      <c r="G505" s="16"/>
    </row>
    <row r="506" ht="15.75" customHeight="1">
      <c r="G506" s="16"/>
    </row>
    <row r="507" ht="15.75" customHeight="1">
      <c r="G507" s="16"/>
    </row>
    <row r="508" ht="15.75" customHeight="1">
      <c r="G508" s="16"/>
    </row>
    <row r="509" ht="15.75" customHeight="1">
      <c r="G509" s="16"/>
    </row>
    <row r="510" ht="15.75" customHeight="1">
      <c r="G510" s="16"/>
    </row>
    <row r="511" ht="15.75" customHeight="1">
      <c r="G511" s="16"/>
    </row>
    <row r="512" ht="15.75" customHeight="1">
      <c r="G512" s="16"/>
    </row>
    <row r="513" ht="15.75" customHeight="1">
      <c r="G513" s="16"/>
    </row>
    <row r="514" ht="15.75" customHeight="1">
      <c r="G514" s="16"/>
    </row>
    <row r="515" ht="15.75" customHeight="1">
      <c r="G515" s="16"/>
    </row>
    <row r="516" ht="15.75" customHeight="1">
      <c r="G516" s="16"/>
    </row>
    <row r="517" ht="15.75" customHeight="1">
      <c r="G517" s="16"/>
    </row>
    <row r="518" ht="15.75" customHeight="1">
      <c r="G518" s="16"/>
    </row>
    <row r="519" ht="15.75" customHeight="1">
      <c r="G519" s="16"/>
    </row>
    <row r="520" ht="15.75" customHeight="1">
      <c r="G520" s="16"/>
    </row>
    <row r="521" ht="15.75" customHeight="1">
      <c r="G521" s="16"/>
    </row>
    <row r="522" ht="15.75" customHeight="1">
      <c r="G522" s="16"/>
    </row>
    <row r="523" ht="15.75" customHeight="1">
      <c r="G523" s="16"/>
    </row>
    <row r="524" ht="15.75" customHeight="1">
      <c r="G524" s="16"/>
    </row>
    <row r="525" ht="15.75" customHeight="1">
      <c r="G525" s="16"/>
    </row>
    <row r="526" ht="15.75" customHeight="1">
      <c r="G526" s="16"/>
    </row>
    <row r="527" ht="15.75" customHeight="1">
      <c r="G527" s="16"/>
    </row>
    <row r="528" ht="15.75" customHeight="1">
      <c r="G528" s="16"/>
    </row>
    <row r="529" ht="15.75" customHeight="1">
      <c r="G529" s="16"/>
    </row>
    <row r="530" ht="15.75" customHeight="1">
      <c r="G530" s="16"/>
    </row>
    <row r="531" ht="15.75" customHeight="1">
      <c r="G531" s="16"/>
    </row>
    <row r="532" ht="15.75" customHeight="1">
      <c r="G532" s="16"/>
    </row>
    <row r="533" ht="15.75" customHeight="1">
      <c r="G533" s="16"/>
    </row>
    <row r="534" ht="15.75" customHeight="1">
      <c r="G534" s="16"/>
    </row>
    <row r="535" ht="15.75" customHeight="1">
      <c r="G535" s="16"/>
    </row>
    <row r="536" ht="15.75" customHeight="1">
      <c r="G536" s="16"/>
    </row>
    <row r="537" ht="15.75" customHeight="1">
      <c r="G537" s="16"/>
    </row>
    <row r="538" ht="15.75" customHeight="1">
      <c r="G538" s="16"/>
    </row>
    <row r="539" ht="15.75" customHeight="1">
      <c r="G539" s="16"/>
    </row>
    <row r="540" ht="15.75" customHeight="1">
      <c r="G540" s="16"/>
    </row>
    <row r="541" ht="15.75" customHeight="1">
      <c r="G541" s="16"/>
    </row>
    <row r="542" ht="15.75" customHeight="1">
      <c r="G542" s="16"/>
    </row>
    <row r="543" ht="15.75" customHeight="1">
      <c r="G543" s="16"/>
    </row>
    <row r="544" ht="15.75" customHeight="1">
      <c r="G544" s="16"/>
    </row>
    <row r="545" ht="15.75" customHeight="1">
      <c r="G545" s="16"/>
    </row>
    <row r="546" ht="15.75" customHeight="1">
      <c r="G546" s="16"/>
    </row>
    <row r="547" ht="15.75" customHeight="1">
      <c r="G547" s="16"/>
    </row>
    <row r="548" ht="15.75" customHeight="1">
      <c r="G548" s="16"/>
    </row>
    <row r="549" ht="15.75" customHeight="1">
      <c r="G549" s="16"/>
    </row>
    <row r="550" ht="15.75" customHeight="1">
      <c r="G550" s="16"/>
    </row>
    <row r="551" ht="15.75" customHeight="1">
      <c r="G551" s="16"/>
    </row>
    <row r="552" ht="15.75" customHeight="1">
      <c r="G552" s="16"/>
    </row>
    <row r="553" ht="15.75" customHeight="1">
      <c r="G553" s="16"/>
    </row>
    <row r="554" ht="15.75" customHeight="1">
      <c r="G554" s="16"/>
    </row>
    <row r="555" ht="15.75" customHeight="1">
      <c r="G555" s="16"/>
    </row>
    <row r="556" ht="15.75" customHeight="1">
      <c r="G556" s="16"/>
    </row>
    <row r="557" ht="15.75" customHeight="1">
      <c r="G557" s="16"/>
    </row>
    <row r="558" ht="15.75" customHeight="1">
      <c r="G558" s="16"/>
    </row>
    <row r="559" ht="15.75" customHeight="1">
      <c r="G559" s="16"/>
    </row>
    <row r="560" ht="15.75" customHeight="1">
      <c r="G560" s="16"/>
    </row>
    <row r="561" ht="15.75" customHeight="1">
      <c r="G561" s="16"/>
    </row>
    <row r="562" ht="15.75" customHeight="1">
      <c r="G562" s="16"/>
    </row>
    <row r="563" ht="15.75" customHeight="1">
      <c r="G563" s="16"/>
    </row>
    <row r="564" ht="15.75" customHeight="1">
      <c r="G564" s="16"/>
    </row>
    <row r="565" ht="15.75" customHeight="1">
      <c r="G565" s="16"/>
    </row>
    <row r="566" ht="15.75" customHeight="1">
      <c r="G566" s="16"/>
    </row>
    <row r="567" ht="15.75" customHeight="1">
      <c r="G567" s="16"/>
    </row>
    <row r="568" ht="15.75" customHeight="1">
      <c r="G568" s="16"/>
    </row>
    <row r="569" ht="15.75" customHeight="1">
      <c r="G569" s="16"/>
    </row>
    <row r="570" ht="15.75" customHeight="1">
      <c r="G570" s="16"/>
    </row>
    <row r="571" ht="15.75" customHeight="1">
      <c r="G571" s="16"/>
    </row>
    <row r="572" ht="15.75" customHeight="1">
      <c r="G572" s="16"/>
    </row>
    <row r="573" ht="15.75" customHeight="1">
      <c r="G573" s="16"/>
    </row>
    <row r="574" ht="15.75" customHeight="1">
      <c r="G574" s="16"/>
    </row>
    <row r="575" ht="15.75" customHeight="1">
      <c r="G575" s="16"/>
    </row>
    <row r="576" ht="15.75" customHeight="1">
      <c r="G576" s="16"/>
    </row>
    <row r="577" ht="15.75" customHeight="1">
      <c r="G577" s="16"/>
    </row>
    <row r="578" ht="15.75" customHeight="1">
      <c r="G578" s="16"/>
    </row>
    <row r="579" ht="15.75" customHeight="1">
      <c r="G579" s="16"/>
    </row>
    <row r="580" ht="15.75" customHeight="1">
      <c r="G580" s="16"/>
    </row>
    <row r="581" ht="15.75" customHeight="1">
      <c r="G581" s="16"/>
    </row>
    <row r="582" ht="15.75" customHeight="1">
      <c r="G582" s="16"/>
    </row>
    <row r="583" ht="15.75" customHeight="1">
      <c r="G583" s="16"/>
    </row>
    <row r="584" ht="15.75" customHeight="1">
      <c r="G584" s="16"/>
    </row>
    <row r="585" ht="15.75" customHeight="1">
      <c r="G585" s="16"/>
    </row>
    <row r="586" ht="15.75" customHeight="1">
      <c r="G586" s="16"/>
    </row>
    <row r="587" ht="15.75" customHeight="1">
      <c r="G587" s="16"/>
    </row>
    <row r="588" ht="15.75" customHeight="1">
      <c r="G588" s="16"/>
    </row>
    <row r="589" ht="15.75" customHeight="1">
      <c r="G589" s="16"/>
    </row>
    <row r="590" ht="15.75" customHeight="1">
      <c r="G590" s="16"/>
    </row>
    <row r="591" ht="15.75" customHeight="1">
      <c r="G591" s="16"/>
    </row>
    <row r="592" ht="15.75" customHeight="1">
      <c r="G592" s="16"/>
    </row>
    <row r="593" ht="15.75" customHeight="1">
      <c r="G593" s="16"/>
    </row>
    <row r="594" ht="15.75" customHeight="1">
      <c r="G594" s="16"/>
    </row>
    <row r="595" ht="15.75" customHeight="1">
      <c r="G595" s="16"/>
    </row>
    <row r="596" ht="15.75" customHeight="1">
      <c r="G596" s="16"/>
    </row>
    <row r="597" ht="15.75" customHeight="1">
      <c r="G597" s="16"/>
    </row>
    <row r="598" ht="15.75" customHeight="1">
      <c r="G598" s="16"/>
    </row>
    <row r="599" ht="15.75" customHeight="1">
      <c r="G599" s="16"/>
    </row>
    <row r="600" ht="15.75" customHeight="1">
      <c r="G600" s="16"/>
    </row>
    <row r="601" ht="15.75" customHeight="1">
      <c r="G601" s="16"/>
    </row>
    <row r="602" ht="15.75" customHeight="1">
      <c r="G602" s="16"/>
    </row>
    <row r="603" ht="15.75" customHeight="1">
      <c r="G603" s="16"/>
    </row>
    <row r="604" ht="15.75" customHeight="1">
      <c r="G604" s="16"/>
    </row>
    <row r="605" ht="15.75" customHeight="1">
      <c r="G605" s="16"/>
    </row>
    <row r="606" ht="15.75" customHeight="1">
      <c r="G606" s="16"/>
    </row>
    <row r="607" ht="15.75" customHeight="1">
      <c r="G607" s="16"/>
    </row>
    <row r="608" ht="15.75" customHeight="1">
      <c r="G608" s="16"/>
    </row>
    <row r="609" ht="15.75" customHeight="1">
      <c r="G609" s="16"/>
    </row>
    <row r="610" ht="15.75" customHeight="1">
      <c r="G610" s="16"/>
    </row>
    <row r="611" ht="15.75" customHeight="1">
      <c r="G611" s="16"/>
    </row>
    <row r="612" ht="15.75" customHeight="1">
      <c r="G612" s="16"/>
    </row>
    <row r="613" ht="15.75" customHeight="1">
      <c r="G613" s="16"/>
    </row>
    <row r="614" ht="15.75" customHeight="1">
      <c r="G614" s="16"/>
    </row>
    <row r="615" ht="15.75" customHeight="1">
      <c r="G615" s="16"/>
    </row>
    <row r="616" ht="15.75" customHeight="1">
      <c r="G616" s="16"/>
    </row>
    <row r="617" ht="15.75" customHeight="1">
      <c r="G617" s="16"/>
    </row>
    <row r="618" ht="15.75" customHeight="1">
      <c r="G618" s="16"/>
    </row>
    <row r="619" ht="15.75" customHeight="1">
      <c r="G619" s="16"/>
    </row>
    <row r="620" ht="15.75" customHeight="1">
      <c r="G620" s="16"/>
    </row>
    <row r="621" ht="15.75" customHeight="1">
      <c r="G621" s="16"/>
    </row>
    <row r="622" ht="15.75" customHeight="1">
      <c r="G622" s="16"/>
    </row>
    <row r="623" ht="15.75" customHeight="1">
      <c r="G623" s="16"/>
    </row>
    <row r="624" ht="15.75" customHeight="1">
      <c r="G624" s="16"/>
    </row>
    <row r="625" ht="15.75" customHeight="1">
      <c r="G625" s="16"/>
    </row>
    <row r="626" ht="15.75" customHeight="1">
      <c r="G626" s="16"/>
    </row>
    <row r="627" ht="15.75" customHeight="1">
      <c r="G627" s="16"/>
    </row>
    <row r="628" ht="15.75" customHeight="1">
      <c r="G628" s="16"/>
    </row>
    <row r="629" ht="15.75" customHeight="1">
      <c r="G629" s="16"/>
    </row>
    <row r="630" ht="15.75" customHeight="1">
      <c r="G630" s="16"/>
    </row>
    <row r="631" ht="15.75" customHeight="1">
      <c r="G631" s="16"/>
    </row>
    <row r="632" ht="15.75" customHeight="1">
      <c r="G632" s="16"/>
    </row>
    <row r="633" ht="15.75" customHeight="1">
      <c r="G633" s="16"/>
    </row>
    <row r="634" ht="15.75" customHeight="1">
      <c r="G634" s="16"/>
    </row>
    <row r="635" ht="15.75" customHeight="1">
      <c r="G635" s="16"/>
    </row>
    <row r="636" ht="15.75" customHeight="1">
      <c r="G636" s="16"/>
    </row>
    <row r="637" ht="15.75" customHeight="1">
      <c r="G637" s="16"/>
    </row>
    <row r="638" ht="15.75" customHeight="1">
      <c r="G638" s="16"/>
    </row>
    <row r="639" ht="15.75" customHeight="1">
      <c r="G639" s="16"/>
    </row>
    <row r="640" ht="15.75" customHeight="1">
      <c r="G640" s="16"/>
    </row>
    <row r="641" ht="15.75" customHeight="1">
      <c r="G641" s="16"/>
    </row>
    <row r="642" ht="15.75" customHeight="1">
      <c r="G642" s="16"/>
    </row>
    <row r="643" ht="15.75" customHeight="1">
      <c r="G643" s="16"/>
    </row>
    <row r="644" ht="15.75" customHeight="1">
      <c r="G644" s="16"/>
    </row>
    <row r="645" ht="15.75" customHeight="1">
      <c r="G645" s="16"/>
    </row>
    <row r="646" ht="15.75" customHeight="1">
      <c r="G646" s="16"/>
    </row>
    <row r="647" ht="15.75" customHeight="1">
      <c r="G647" s="16"/>
    </row>
    <row r="648" ht="15.75" customHeight="1">
      <c r="G648" s="16"/>
    </row>
    <row r="649" ht="15.75" customHeight="1">
      <c r="G649" s="16"/>
    </row>
    <row r="650" ht="15.75" customHeight="1">
      <c r="G650" s="16"/>
    </row>
    <row r="651" ht="15.75" customHeight="1">
      <c r="G651" s="16"/>
    </row>
    <row r="652" ht="15.75" customHeight="1">
      <c r="G652" s="16"/>
    </row>
    <row r="653" ht="15.75" customHeight="1">
      <c r="G653" s="16"/>
    </row>
    <row r="654" ht="15.75" customHeight="1">
      <c r="G654" s="16"/>
    </row>
    <row r="655" ht="15.75" customHeight="1">
      <c r="G655" s="16"/>
    </row>
    <row r="656" ht="15.75" customHeight="1">
      <c r="G656" s="16"/>
    </row>
    <row r="657" ht="15.75" customHeight="1">
      <c r="G657" s="16"/>
    </row>
    <row r="658" ht="15.75" customHeight="1">
      <c r="G658" s="16"/>
    </row>
    <row r="659" ht="15.75" customHeight="1">
      <c r="G659" s="16"/>
    </row>
    <row r="660" ht="15.75" customHeight="1">
      <c r="G660" s="16"/>
    </row>
    <row r="661" ht="15.75" customHeight="1">
      <c r="G661" s="16"/>
    </row>
    <row r="662" ht="15.75" customHeight="1">
      <c r="G662" s="16"/>
    </row>
    <row r="663" ht="15.75" customHeight="1">
      <c r="G663" s="16"/>
    </row>
    <row r="664" ht="15.75" customHeight="1">
      <c r="G664" s="16"/>
    </row>
    <row r="665" ht="15.75" customHeight="1">
      <c r="G665" s="16"/>
    </row>
    <row r="666" ht="15.75" customHeight="1">
      <c r="G666" s="16"/>
    </row>
    <row r="667" ht="15.75" customHeight="1">
      <c r="G667" s="16"/>
    </row>
    <row r="668" ht="15.75" customHeight="1">
      <c r="G668" s="16"/>
    </row>
    <row r="669" ht="15.75" customHeight="1">
      <c r="G669" s="16"/>
    </row>
    <row r="670" ht="15.75" customHeight="1">
      <c r="G670" s="16"/>
    </row>
    <row r="671" ht="15.75" customHeight="1">
      <c r="G671" s="16"/>
    </row>
    <row r="672" ht="15.75" customHeight="1">
      <c r="G672" s="16"/>
    </row>
    <row r="673" ht="15.75" customHeight="1">
      <c r="G673" s="16"/>
    </row>
    <row r="674" ht="15.75" customHeight="1">
      <c r="G674" s="16"/>
    </row>
    <row r="675" ht="15.75" customHeight="1">
      <c r="G675" s="16"/>
    </row>
    <row r="676" ht="15.75" customHeight="1">
      <c r="G676" s="16"/>
    </row>
    <row r="677" ht="15.75" customHeight="1">
      <c r="G677" s="16"/>
    </row>
    <row r="678" ht="15.75" customHeight="1">
      <c r="G678" s="16"/>
    </row>
    <row r="679" ht="15.75" customHeight="1">
      <c r="G679" s="16"/>
    </row>
    <row r="680" ht="15.75" customHeight="1">
      <c r="G680" s="16"/>
    </row>
    <row r="681" ht="15.75" customHeight="1">
      <c r="G681" s="16"/>
    </row>
    <row r="682" ht="15.75" customHeight="1">
      <c r="G682" s="16"/>
    </row>
    <row r="683" ht="15.75" customHeight="1">
      <c r="G683" s="16"/>
    </row>
    <row r="684" ht="15.75" customHeight="1">
      <c r="G684" s="16"/>
    </row>
    <row r="685" ht="15.75" customHeight="1">
      <c r="G685" s="16"/>
    </row>
    <row r="686" ht="15.75" customHeight="1">
      <c r="G686" s="16"/>
    </row>
    <row r="687" ht="15.75" customHeight="1">
      <c r="G687" s="16"/>
    </row>
    <row r="688" ht="15.75" customHeight="1">
      <c r="G688" s="16"/>
    </row>
    <row r="689" ht="15.75" customHeight="1">
      <c r="G689" s="16"/>
    </row>
    <row r="690" ht="15.75" customHeight="1">
      <c r="G690" s="16"/>
    </row>
    <row r="691" ht="15.75" customHeight="1">
      <c r="G691" s="16"/>
    </row>
    <row r="692" ht="15.75" customHeight="1">
      <c r="G692" s="16"/>
    </row>
    <row r="693" ht="15.75" customHeight="1">
      <c r="G693" s="16"/>
    </row>
    <row r="694" ht="15.75" customHeight="1">
      <c r="G694" s="16"/>
    </row>
    <row r="695" ht="15.75" customHeight="1">
      <c r="G695" s="16"/>
    </row>
    <row r="696" ht="15.75" customHeight="1">
      <c r="G696" s="16"/>
    </row>
    <row r="697" ht="15.75" customHeight="1">
      <c r="G697" s="16"/>
    </row>
    <row r="698" ht="15.75" customHeight="1">
      <c r="G698" s="16"/>
    </row>
    <row r="699" ht="15.75" customHeight="1">
      <c r="G699" s="16"/>
    </row>
    <row r="700" ht="15.75" customHeight="1">
      <c r="G700" s="16"/>
    </row>
    <row r="701" ht="15.75" customHeight="1">
      <c r="G701" s="16"/>
    </row>
    <row r="702" ht="15.75" customHeight="1">
      <c r="G702" s="16"/>
    </row>
    <row r="703" ht="15.75" customHeight="1">
      <c r="G703" s="16"/>
    </row>
    <row r="704" ht="15.75" customHeight="1">
      <c r="G704" s="16"/>
    </row>
    <row r="705" ht="15.75" customHeight="1">
      <c r="G705" s="16"/>
    </row>
    <row r="706" ht="15.75" customHeight="1">
      <c r="G706" s="16"/>
    </row>
    <row r="707" ht="15.75" customHeight="1">
      <c r="G707" s="16"/>
    </row>
    <row r="708" ht="15.75" customHeight="1">
      <c r="G708" s="16"/>
    </row>
    <row r="709" ht="15.75" customHeight="1">
      <c r="G709" s="16"/>
    </row>
    <row r="710" ht="15.75" customHeight="1">
      <c r="G710" s="16"/>
    </row>
    <row r="711" ht="15.75" customHeight="1">
      <c r="G711" s="16"/>
    </row>
    <row r="712" ht="15.75" customHeight="1">
      <c r="G712" s="16"/>
    </row>
    <row r="713" ht="15.75" customHeight="1">
      <c r="G713" s="16"/>
    </row>
    <row r="714" ht="15.75" customHeight="1">
      <c r="G714" s="16"/>
    </row>
    <row r="715" ht="15.75" customHeight="1">
      <c r="G715" s="16"/>
    </row>
    <row r="716" ht="15.75" customHeight="1">
      <c r="G716" s="16"/>
    </row>
    <row r="717" ht="15.75" customHeight="1">
      <c r="G717" s="16"/>
    </row>
    <row r="718" ht="15.75" customHeight="1">
      <c r="G718" s="16"/>
    </row>
    <row r="719" ht="15.75" customHeight="1">
      <c r="G719" s="16"/>
    </row>
    <row r="720" ht="15.75" customHeight="1">
      <c r="G720" s="16"/>
    </row>
    <row r="721" ht="15.75" customHeight="1">
      <c r="G721" s="16"/>
    </row>
    <row r="722" ht="15.75" customHeight="1">
      <c r="G722" s="16"/>
    </row>
    <row r="723" ht="15.75" customHeight="1">
      <c r="G723" s="16"/>
    </row>
    <row r="724" ht="15.75" customHeight="1">
      <c r="G724" s="16"/>
    </row>
    <row r="725" ht="15.75" customHeight="1">
      <c r="G725" s="16"/>
    </row>
    <row r="726" ht="15.75" customHeight="1">
      <c r="G726" s="16"/>
    </row>
    <row r="727" ht="15.75" customHeight="1">
      <c r="G727" s="16"/>
    </row>
    <row r="728" ht="15.75" customHeight="1">
      <c r="G728" s="16"/>
    </row>
    <row r="729" ht="15.75" customHeight="1">
      <c r="G729" s="16"/>
    </row>
    <row r="730" ht="15.75" customHeight="1">
      <c r="G730" s="16"/>
    </row>
    <row r="731" ht="15.75" customHeight="1">
      <c r="G731" s="16"/>
    </row>
    <row r="732" ht="15.75" customHeight="1">
      <c r="G732" s="16"/>
    </row>
    <row r="733" ht="15.75" customHeight="1">
      <c r="G733" s="16"/>
    </row>
    <row r="734" ht="15.75" customHeight="1">
      <c r="G734" s="16"/>
    </row>
    <row r="735" ht="15.75" customHeight="1">
      <c r="G735" s="16"/>
    </row>
    <row r="736" ht="15.75" customHeight="1">
      <c r="G736" s="16"/>
    </row>
    <row r="737" ht="15.75" customHeight="1">
      <c r="G737" s="16"/>
    </row>
    <row r="738" ht="15.75" customHeight="1">
      <c r="G738" s="16"/>
    </row>
    <row r="739" ht="15.75" customHeight="1">
      <c r="G739" s="16"/>
    </row>
    <row r="740" ht="15.75" customHeight="1">
      <c r="G740" s="16"/>
    </row>
    <row r="741" ht="15.75" customHeight="1">
      <c r="G741" s="16"/>
    </row>
    <row r="742" ht="15.75" customHeight="1">
      <c r="G742" s="16"/>
    </row>
    <row r="743" ht="15.75" customHeight="1">
      <c r="G743" s="16"/>
    </row>
    <row r="744" ht="15.75" customHeight="1">
      <c r="G744" s="16"/>
    </row>
    <row r="745" ht="15.75" customHeight="1">
      <c r="G745" s="16"/>
    </row>
    <row r="746" ht="15.75" customHeight="1">
      <c r="G746" s="16"/>
    </row>
    <row r="747" ht="15.75" customHeight="1">
      <c r="G747" s="16"/>
    </row>
    <row r="748" ht="15.75" customHeight="1">
      <c r="G748" s="16"/>
    </row>
    <row r="749" ht="15.75" customHeight="1">
      <c r="G749" s="16"/>
    </row>
    <row r="750" ht="15.75" customHeight="1">
      <c r="G750" s="16"/>
    </row>
    <row r="751" ht="15.75" customHeight="1">
      <c r="G751" s="16"/>
    </row>
    <row r="752" ht="15.75" customHeight="1">
      <c r="G752" s="16"/>
    </row>
    <row r="753" ht="15.75" customHeight="1">
      <c r="G753" s="16"/>
    </row>
    <row r="754" ht="15.75" customHeight="1">
      <c r="G754" s="16"/>
    </row>
    <row r="755" ht="15.75" customHeight="1">
      <c r="G755" s="16"/>
    </row>
    <row r="756" ht="15.75" customHeight="1">
      <c r="G756" s="16"/>
    </row>
    <row r="757" ht="15.75" customHeight="1">
      <c r="G757" s="16"/>
    </row>
    <row r="758" ht="15.75" customHeight="1">
      <c r="G758" s="16"/>
    </row>
    <row r="759" ht="15.75" customHeight="1">
      <c r="G759" s="16"/>
    </row>
    <row r="760" ht="15.75" customHeight="1">
      <c r="G760" s="16"/>
    </row>
    <row r="761" ht="15.75" customHeight="1">
      <c r="G761" s="16"/>
    </row>
    <row r="762" ht="15.75" customHeight="1">
      <c r="G762" s="16"/>
    </row>
    <row r="763" ht="15.75" customHeight="1">
      <c r="G763" s="16"/>
    </row>
    <row r="764" ht="15.75" customHeight="1">
      <c r="G764" s="16"/>
    </row>
    <row r="765" ht="15.75" customHeight="1">
      <c r="G765" s="16"/>
    </row>
    <row r="766" ht="15.75" customHeight="1">
      <c r="G766" s="16"/>
    </row>
    <row r="767" ht="15.75" customHeight="1">
      <c r="G767" s="16"/>
    </row>
    <row r="768" ht="15.75" customHeight="1">
      <c r="G768" s="16"/>
    </row>
    <row r="769" ht="15.75" customHeight="1">
      <c r="G769" s="16"/>
    </row>
    <row r="770" ht="15.75" customHeight="1">
      <c r="G770" s="16"/>
    </row>
    <row r="771" ht="15.75" customHeight="1">
      <c r="G771" s="16"/>
    </row>
    <row r="772" ht="15.75" customHeight="1">
      <c r="G772" s="16"/>
    </row>
    <row r="773" ht="15.75" customHeight="1">
      <c r="G773" s="16"/>
    </row>
    <row r="774" ht="15.75" customHeight="1">
      <c r="G774" s="16"/>
    </row>
    <row r="775" ht="15.75" customHeight="1">
      <c r="G775" s="16"/>
    </row>
    <row r="776" ht="15.75" customHeight="1">
      <c r="G776" s="16"/>
    </row>
    <row r="777" ht="15.75" customHeight="1">
      <c r="G777" s="16"/>
    </row>
    <row r="778" ht="15.75" customHeight="1">
      <c r="G778" s="16"/>
    </row>
    <row r="779" ht="15.75" customHeight="1">
      <c r="G779" s="16"/>
    </row>
    <row r="780" ht="15.75" customHeight="1">
      <c r="G780" s="16"/>
    </row>
    <row r="781" ht="15.75" customHeight="1">
      <c r="G781" s="16"/>
    </row>
    <row r="782" ht="15.75" customHeight="1">
      <c r="G782" s="16"/>
    </row>
    <row r="783" ht="15.75" customHeight="1">
      <c r="G783" s="16"/>
    </row>
    <row r="784" ht="15.75" customHeight="1">
      <c r="G784" s="16"/>
    </row>
    <row r="785" ht="15.75" customHeight="1">
      <c r="G785" s="16"/>
    </row>
    <row r="786" ht="15.75" customHeight="1">
      <c r="G786" s="16"/>
    </row>
    <row r="787" ht="15.75" customHeight="1">
      <c r="G787" s="16"/>
    </row>
    <row r="788" ht="15.75" customHeight="1">
      <c r="G788" s="16"/>
    </row>
    <row r="789" ht="15.75" customHeight="1">
      <c r="G789" s="16"/>
    </row>
    <row r="790" ht="15.75" customHeight="1">
      <c r="G790" s="16"/>
    </row>
    <row r="791" ht="15.75" customHeight="1">
      <c r="G791" s="16"/>
    </row>
    <row r="792" ht="15.75" customHeight="1">
      <c r="G792" s="16"/>
    </row>
    <row r="793" ht="15.75" customHeight="1">
      <c r="G793" s="16"/>
    </row>
    <row r="794" ht="15.75" customHeight="1">
      <c r="G794" s="16"/>
    </row>
    <row r="795" ht="15.75" customHeight="1">
      <c r="G795" s="16"/>
    </row>
    <row r="796" ht="15.75" customHeight="1">
      <c r="G796" s="16"/>
    </row>
    <row r="797" ht="15.75" customHeight="1">
      <c r="G797" s="16"/>
    </row>
    <row r="798" ht="15.75" customHeight="1">
      <c r="G798" s="16"/>
    </row>
    <row r="799" ht="15.75" customHeight="1">
      <c r="G799" s="16"/>
    </row>
    <row r="800" ht="15.75" customHeight="1">
      <c r="G800" s="16"/>
    </row>
    <row r="801" ht="15.75" customHeight="1">
      <c r="G801" s="16"/>
    </row>
    <row r="802" ht="15.75" customHeight="1">
      <c r="G802" s="16"/>
    </row>
    <row r="803" ht="15.75" customHeight="1">
      <c r="G803" s="16"/>
    </row>
    <row r="804" ht="15.75" customHeight="1">
      <c r="G804" s="16"/>
    </row>
    <row r="805" ht="15.75" customHeight="1">
      <c r="G805" s="16"/>
    </row>
    <row r="806" ht="15.75" customHeight="1">
      <c r="G806" s="16"/>
    </row>
    <row r="807" ht="15.75" customHeight="1">
      <c r="G807" s="16"/>
    </row>
    <row r="808" ht="15.75" customHeight="1">
      <c r="G808" s="16"/>
    </row>
    <row r="809" ht="15.75" customHeight="1">
      <c r="G809" s="16"/>
    </row>
    <row r="810" ht="15.75" customHeight="1">
      <c r="G810" s="16"/>
    </row>
    <row r="811" ht="15.75" customHeight="1">
      <c r="G811" s="16"/>
    </row>
    <row r="812" ht="15.75" customHeight="1">
      <c r="G812" s="16"/>
    </row>
    <row r="813" ht="15.75" customHeight="1">
      <c r="G813" s="16"/>
    </row>
    <row r="814" ht="15.75" customHeight="1">
      <c r="G814" s="16"/>
    </row>
    <row r="815" ht="15.75" customHeight="1">
      <c r="G815" s="16"/>
    </row>
    <row r="816" ht="15.75" customHeight="1">
      <c r="G816" s="16"/>
    </row>
    <row r="817" ht="15.75" customHeight="1">
      <c r="G817" s="16"/>
    </row>
    <row r="818" ht="15.75" customHeight="1">
      <c r="G818" s="16"/>
    </row>
    <row r="819" ht="15.75" customHeight="1">
      <c r="G819" s="16"/>
    </row>
    <row r="820" ht="15.75" customHeight="1">
      <c r="G820" s="16"/>
    </row>
    <row r="821" ht="15.75" customHeight="1">
      <c r="G821" s="16"/>
    </row>
    <row r="822" ht="15.75" customHeight="1">
      <c r="G822" s="16"/>
    </row>
    <row r="823" ht="15.75" customHeight="1">
      <c r="G823" s="16"/>
    </row>
    <row r="824" ht="15.75" customHeight="1">
      <c r="G824" s="16"/>
    </row>
    <row r="825" ht="15.75" customHeight="1">
      <c r="G825" s="16"/>
    </row>
    <row r="826" ht="15.75" customHeight="1">
      <c r="G826" s="16"/>
    </row>
    <row r="827" ht="15.75" customHeight="1">
      <c r="G827" s="16"/>
    </row>
    <row r="828" ht="15.75" customHeight="1">
      <c r="G828" s="16"/>
    </row>
    <row r="829" ht="15.75" customHeight="1">
      <c r="G829" s="16"/>
    </row>
    <row r="830" ht="15.75" customHeight="1">
      <c r="G830" s="16"/>
    </row>
    <row r="831" ht="15.75" customHeight="1">
      <c r="G831" s="16"/>
    </row>
    <row r="832" ht="15.75" customHeight="1">
      <c r="G832" s="16"/>
    </row>
    <row r="833" ht="15.75" customHeight="1">
      <c r="G833" s="16"/>
    </row>
    <row r="834" ht="15.75" customHeight="1">
      <c r="G834" s="16"/>
    </row>
    <row r="835" ht="15.75" customHeight="1">
      <c r="G835" s="16"/>
    </row>
    <row r="836" ht="15.75" customHeight="1">
      <c r="G836" s="16"/>
    </row>
    <row r="837" ht="15.75" customHeight="1">
      <c r="G837" s="16"/>
    </row>
    <row r="838" ht="15.75" customHeight="1">
      <c r="G838" s="16"/>
    </row>
    <row r="839" ht="15.75" customHeight="1">
      <c r="G839" s="16"/>
    </row>
    <row r="840" ht="15.75" customHeight="1">
      <c r="G840" s="16"/>
    </row>
    <row r="841" ht="15.75" customHeight="1">
      <c r="G841" s="16"/>
    </row>
    <row r="842" ht="15.75" customHeight="1">
      <c r="G842" s="16"/>
    </row>
    <row r="843" ht="15.75" customHeight="1">
      <c r="G843" s="16"/>
    </row>
    <row r="844" ht="15.75" customHeight="1">
      <c r="G844" s="16"/>
    </row>
    <row r="845" ht="15.75" customHeight="1">
      <c r="G845" s="16"/>
    </row>
    <row r="846" ht="15.75" customHeight="1">
      <c r="G846" s="16"/>
    </row>
    <row r="847" ht="15.75" customHeight="1">
      <c r="G847" s="16"/>
    </row>
    <row r="848" ht="15.75" customHeight="1">
      <c r="G848" s="16"/>
    </row>
    <row r="849" ht="15.75" customHeight="1">
      <c r="G849" s="16"/>
    </row>
    <row r="850" ht="15.75" customHeight="1">
      <c r="G850" s="16"/>
    </row>
    <row r="851" ht="15.75" customHeight="1">
      <c r="G851" s="16"/>
    </row>
    <row r="852" ht="15.75" customHeight="1">
      <c r="G852" s="16"/>
    </row>
    <row r="853" ht="15.75" customHeight="1">
      <c r="G853" s="16"/>
    </row>
    <row r="854" ht="15.75" customHeight="1">
      <c r="G854" s="16"/>
    </row>
    <row r="855" ht="15.75" customHeight="1">
      <c r="G855" s="16"/>
    </row>
    <row r="856" ht="15.75" customHeight="1">
      <c r="G856" s="16"/>
    </row>
    <row r="857" ht="15.75" customHeight="1">
      <c r="G857" s="16"/>
    </row>
    <row r="858" ht="15.75" customHeight="1">
      <c r="G858" s="16"/>
    </row>
    <row r="859" ht="15.75" customHeight="1">
      <c r="G859" s="16"/>
    </row>
    <row r="860" ht="15.75" customHeight="1">
      <c r="G860" s="16"/>
    </row>
    <row r="861" ht="15.75" customHeight="1">
      <c r="G861" s="16"/>
    </row>
    <row r="862" ht="15.75" customHeight="1">
      <c r="G862" s="16"/>
    </row>
    <row r="863" ht="15.75" customHeight="1">
      <c r="G863" s="16"/>
    </row>
    <row r="864" ht="15.75" customHeight="1">
      <c r="G864" s="16"/>
    </row>
    <row r="865" ht="15.75" customHeight="1">
      <c r="G865" s="16"/>
    </row>
    <row r="866" ht="15.75" customHeight="1">
      <c r="G866" s="16"/>
    </row>
    <row r="867" ht="15.75" customHeight="1">
      <c r="G867" s="16"/>
    </row>
    <row r="868" ht="15.75" customHeight="1">
      <c r="G868" s="16"/>
    </row>
    <row r="869" ht="15.75" customHeight="1">
      <c r="G869" s="16"/>
    </row>
    <row r="870" ht="15.75" customHeight="1">
      <c r="G870" s="16"/>
    </row>
    <row r="871" ht="15.75" customHeight="1">
      <c r="G871" s="16"/>
    </row>
    <row r="872" ht="15.75" customHeight="1">
      <c r="G872" s="16"/>
    </row>
    <row r="873" ht="15.75" customHeight="1">
      <c r="G873" s="16"/>
    </row>
    <row r="874" ht="15.75" customHeight="1">
      <c r="G874" s="16"/>
    </row>
    <row r="875" ht="15.75" customHeight="1">
      <c r="G875" s="16"/>
    </row>
    <row r="876" ht="15.75" customHeight="1">
      <c r="G876" s="16"/>
    </row>
    <row r="877" ht="15.75" customHeight="1">
      <c r="G877" s="16"/>
    </row>
    <row r="878" ht="15.75" customHeight="1">
      <c r="G878" s="16"/>
    </row>
    <row r="879" ht="15.75" customHeight="1">
      <c r="G879" s="16"/>
    </row>
    <row r="880" ht="15.75" customHeight="1">
      <c r="G880" s="16"/>
    </row>
    <row r="881" ht="15.75" customHeight="1">
      <c r="G881" s="16"/>
    </row>
    <row r="882" ht="15.75" customHeight="1">
      <c r="G882" s="16"/>
    </row>
    <row r="883" ht="15.75" customHeight="1">
      <c r="G883" s="16"/>
    </row>
    <row r="884" ht="15.75" customHeight="1">
      <c r="G884" s="16"/>
    </row>
    <row r="885" ht="15.75" customHeight="1">
      <c r="G885" s="16"/>
    </row>
    <row r="886" ht="15.75" customHeight="1">
      <c r="G886" s="16"/>
    </row>
    <row r="887" ht="15.75" customHeight="1">
      <c r="G887" s="16"/>
    </row>
    <row r="888" ht="15.75" customHeight="1">
      <c r="G888" s="16"/>
    </row>
    <row r="889" ht="15.75" customHeight="1">
      <c r="G889" s="16"/>
    </row>
    <row r="890" ht="15.75" customHeight="1">
      <c r="G890" s="16"/>
    </row>
    <row r="891" ht="15.75" customHeight="1">
      <c r="G891" s="16"/>
    </row>
    <row r="892" ht="15.75" customHeight="1">
      <c r="G892" s="16"/>
    </row>
    <row r="893" ht="15.75" customHeight="1">
      <c r="G893" s="16"/>
    </row>
    <row r="894" ht="15.75" customHeight="1">
      <c r="G894" s="16"/>
    </row>
    <row r="895" ht="15.75" customHeight="1">
      <c r="G895" s="16"/>
    </row>
    <row r="896" ht="15.75" customHeight="1">
      <c r="G896" s="16"/>
    </row>
    <row r="897" ht="15.75" customHeight="1">
      <c r="G897" s="16"/>
    </row>
    <row r="898" ht="15.75" customHeight="1">
      <c r="G898" s="16"/>
    </row>
    <row r="899" ht="15.75" customHeight="1">
      <c r="G899" s="16"/>
    </row>
    <row r="900" ht="15.75" customHeight="1">
      <c r="G900" s="16"/>
    </row>
    <row r="901" ht="15.75" customHeight="1">
      <c r="G901" s="16"/>
    </row>
    <row r="902" ht="15.75" customHeight="1">
      <c r="G902" s="16"/>
    </row>
    <row r="903" ht="15.75" customHeight="1">
      <c r="G903" s="16"/>
    </row>
    <row r="904" ht="15.75" customHeight="1">
      <c r="G904" s="16"/>
    </row>
    <row r="905" ht="15.75" customHeight="1">
      <c r="G905" s="16"/>
    </row>
    <row r="906" ht="15.75" customHeight="1">
      <c r="G906" s="16"/>
    </row>
    <row r="907" ht="15.75" customHeight="1">
      <c r="G907" s="16"/>
    </row>
    <row r="908" ht="15.75" customHeight="1">
      <c r="G908" s="16"/>
    </row>
    <row r="909" ht="15.75" customHeight="1">
      <c r="G909" s="16"/>
    </row>
    <row r="910" ht="15.75" customHeight="1">
      <c r="G910" s="16"/>
    </row>
    <row r="911" ht="15.75" customHeight="1">
      <c r="G911" s="16"/>
    </row>
    <row r="912" ht="15.75" customHeight="1">
      <c r="G912" s="16"/>
    </row>
    <row r="913" ht="15.75" customHeight="1">
      <c r="G913" s="16"/>
    </row>
    <row r="914" ht="15.75" customHeight="1">
      <c r="G914" s="16"/>
    </row>
    <row r="915" ht="15.75" customHeight="1">
      <c r="G915" s="16"/>
    </row>
    <row r="916" ht="15.75" customHeight="1">
      <c r="G916" s="16"/>
    </row>
    <row r="917" ht="15.75" customHeight="1">
      <c r="G917" s="16"/>
    </row>
    <row r="918" ht="15.75" customHeight="1">
      <c r="G918" s="16"/>
    </row>
    <row r="919" ht="15.75" customHeight="1">
      <c r="G919" s="16"/>
    </row>
    <row r="920" ht="15.75" customHeight="1">
      <c r="G920" s="16"/>
    </row>
    <row r="921" ht="15.75" customHeight="1">
      <c r="G921" s="16"/>
    </row>
    <row r="922" ht="15.75" customHeight="1">
      <c r="G922" s="16"/>
    </row>
    <row r="923" ht="15.75" customHeight="1">
      <c r="G923" s="16"/>
    </row>
    <row r="924" ht="15.75" customHeight="1">
      <c r="G924" s="16"/>
    </row>
    <row r="925" ht="15.75" customHeight="1">
      <c r="G925" s="16"/>
    </row>
    <row r="926" ht="15.75" customHeight="1">
      <c r="G926" s="16"/>
    </row>
    <row r="927" ht="15.75" customHeight="1">
      <c r="G927" s="16"/>
    </row>
    <row r="928" ht="15.75" customHeight="1">
      <c r="G928" s="16"/>
    </row>
    <row r="929" ht="15.75" customHeight="1">
      <c r="G929" s="16"/>
    </row>
    <row r="930" ht="15.75" customHeight="1">
      <c r="G930" s="16"/>
    </row>
    <row r="931" ht="15.75" customHeight="1">
      <c r="G931" s="16"/>
    </row>
    <row r="932" ht="15.75" customHeight="1">
      <c r="G932" s="16"/>
    </row>
    <row r="933" ht="15.75" customHeight="1">
      <c r="G933" s="16"/>
    </row>
    <row r="934" ht="15.75" customHeight="1">
      <c r="G934" s="16"/>
    </row>
    <row r="935" ht="15.75" customHeight="1">
      <c r="G935" s="16"/>
    </row>
    <row r="936" ht="15.75" customHeight="1">
      <c r="G936" s="16"/>
    </row>
    <row r="937" ht="15.75" customHeight="1">
      <c r="G937" s="16"/>
    </row>
    <row r="938" ht="15.75" customHeight="1">
      <c r="G938" s="16"/>
    </row>
    <row r="939" ht="15.75" customHeight="1">
      <c r="G939" s="16"/>
    </row>
    <row r="940" ht="15.75" customHeight="1">
      <c r="G940" s="16"/>
    </row>
    <row r="941" ht="15.75" customHeight="1">
      <c r="G941" s="16"/>
    </row>
    <row r="942" ht="15.75" customHeight="1">
      <c r="G942" s="16"/>
    </row>
    <row r="943" ht="15.75" customHeight="1">
      <c r="G943" s="16"/>
    </row>
    <row r="944" ht="15.75" customHeight="1">
      <c r="G944" s="16"/>
    </row>
    <row r="945" ht="15.75" customHeight="1">
      <c r="G945" s="16"/>
    </row>
    <row r="946" ht="15.75" customHeight="1">
      <c r="G946" s="16"/>
    </row>
    <row r="947" ht="15.75" customHeight="1">
      <c r="G947" s="16"/>
    </row>
    <row r="948" ht="15.75" customHeight="1">
      <c r="G948" s="16"/>
    </row>
    <row r="949" ht="15.75" customHeight="1">
      <c r="G949" s="16"/>
    </row>
    <row r="950" ht="15.75" customHeight="1">
      <c r="G950" s="16"/>
    </row>
    <row r="951" ht="15.75" customHeight="1">
      <c r="G951" s="16"/>
    </row>
    <row r="952" ht="15.75" customHeight="1">
      <c r="G952" s="16"/>
    </row>
    <row r="953" ht="15.75" customHeight="1">
      <c r="G953" s="16"/>
    </row>
    <row r="954" ht="15.75" customHeight="1">
      <c r="G954" s="16"/>
    </row>
    <row r="955" ht="15.75" customHeight="1">
      <c r="G955" s="16"/>
    </row>
    <row r="956" ht="15.75" customHeight="1">
      <c r="G956" s="16"/>
    </row>
    <row r="957" ht="15.75" customHeight="1">
      <c r="G957" s="16"/>
    </row>
    <row r="958" ht="15.75" customHeight="1">
      <c r="G958" s="16"/>
    </row>
    <row r="959" ht="15.75" customHeight="1">
      <c r="G959" s="16"/>
    </row>
    <row r="960" ht="15.75" customHeight="1">
      <c r="G960" s="16"/>
    </row>
    <row r="961" ht="15.75" customHeight="1">
      <c r="G961" s="16"/>
    </row>
    <row r="962" ht="15.75" customHeight="1">
      <c r="G962" s="16"/>
    </row>
    <row r="963" ht="15.75" customHeight="1">
      <c r="G963" s="16"/>
    </row>
    <row r="964" ht="15.75" customHeight="1">
      <c r="G964" s="16"/>
    </row>
    <row r="965" ht="15.75" customHeight="1">
      <c r="G965" s="16"/>
    </row>
    <row r="966" ht="15.75" customHeight="1">
      <c r="G966" s="16"/>
    </row>
    <row r="967" ht="15.75" customHeight="1">
      <c r="G967" s="16"/>
    </row>
    <row r="968" ht="15.75" customHeight="1">
      <c r="G968" s="16"/>
    </row>
    <row r="969" ht="15.75" customHeight="1">
      <c r="G969" s="16"/>
    </row>
    <row r="970" ht="15.75" customHeight="1">
      <c r="G970" s="16"/>
    </row>
    <row r="971" ht="15.75" customHeight="1">
      <c r="G971" s="16"/>
    </row>
    <row r="972" ht="15.75" customHeight="1">
      <c r="G972" s="16"/>
    </row>
    <row r="973" ht="15.75" customHeight="1">
      <c r="G973" s="16"/>
    </row>
    <row r="974" ht="15.75" customHeight="1">
      <c r="G974" s="16"/>
    </row>
    <row r="975" ht="15.75" customHeight="1">
      <c r="G975" s="16"/>
    </row>
    <row r="976" ht="15.75" customHeight="1">
      <c r="G976" s="16"/>
    </row>
    <row r="977" ht="15.75" customHeight="1">
      <c r="G977" s="16"/>
    </row>
    <row r="978" ht="15.75" customHeight="1">
      <c r="G978" s="16"/>
    </row>
    <row r="979" ht="15.75" customHeight="1">
      <c r="G979" s="16"/>
    </row>
    <row r="980" ht="15.75" customHeight="1">
      <c r="G980" s="16"/>
    </row>
    <row r="981" ht="15.75" customHeight="1">
      <c r="G981" s="16"/>
    </row>
    <row r="982" ht="15.75" customHeight="1">
      <c r="G982" s="16"/>
    </row>
    <row r="983" ht="15.75" customHeight="1">
      <c r="G983" s="16"/>
    </row>
    <row r="984" ht="15.75" customHeight="1">
      <c r="G984" s="16"/>
    </row>
    <row r="985" ht="15.75" customHeight="1">
      <c r="G985" s="16"/>
    </row>
    <row r="986" ht="15.75" customHeight="1">
      <c r="G986" s="16"/>
    </row>
    <row r="987" ht="15.75" customHeight="1">
      <c r="G987" s="16"/>
    </row>
    <row r="988" ht="15.75" customHeight="1">
      <c r="G988" s="16"/>
    </row>
    <row r="989" ht="15.75" customHeight="1">
      <c r="G989" s="16"/>
    </row>
    <row r="990" ht="15.75" customHeight="1">
      <c r="G990" s="16"/>
    </row>
    <row r="991" ht="15.75" customHeight="1">
      <c r="G991" s="16"/>
    </row>
    <row r="992" ht="15.75" customHeight="1">
      <c r="G992" s="16"/>
    </row>
    <row r="993" ht="15.75" customHeight="1">
      <c r="G993" s="16"/>
    </row>
    <row r="994" ht="15.75" customHeight="1">
      <c r="G994" s="16"/>
    </row>
    <row r="995" ht="15.75" customHeight="1">
      <c r="G995" s="16"/>
    </row>
    <row r="996" ht="15.75" customHeight="1">
      <c r="G996" s="16"/>
    </row>
    <row r="997" ht="15.75" customHeight="1">
      <c r="G997" s="16"/>
    </row>
    <row r="998" ht="15.75" customHeight="1">
      <c r="G998" s="16"/>
    </row>
    <row r="999" ht="15.75" customHeight="1">
      <c r="G999" s="16"/>
    </row>
    <row r="1000" ht="15.75" customHeight="1">
      <c r="G1000" s="16"/>
    </row>
  </sheetData>
  <mergeCells count="6">
    <mergeCell ref="G2:G8"/>
    <mergeCell ref="G9:G23"/>
    <mergeCell ref="A26:A27"/>
    <mergeCell ref="G29:G31"/>
    <mergeCell ref="G32:G33"/>
    <mergeCell ref="G36:G3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6.38"/>
    <col customWidth="1" min="3" max="3" width="6.5"/>
    <col customWidth="1" min="4" max="4" width="9.63"/>
    <col customWidth="1" min="5" max="5" width="7.88"/>
    <col customWidth="1" min="6" max="25" width="12.63"/>
  </cols>
  <sheetData>
    <row r="1" ht="36.0" customHeight="1">
      <c r="A1" s="18" t="s">
        <v>652</v>
      </c>
      <c r="B1" s="19" t="s">
        <v>653</v>
      </c>
      <c r="C1" s="19" t="s">
        <v>654</v>
      </c>
      <c r="D1" s="19" t="s">
        <v>655</v>
      </c>
      <c r="E1" s="19" t="s">
        <v>656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20" t="s">
        <v>657</v>
      </c>
      <c r="B2" s="21"/>
      <c r="C2" s="21"/>
      <c r="D2" s="21"/>
      <c r="E2" s="2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23" t="s">
        <v>658</v>
      </c>
      <c r="B3" s="21">
        <v>0.847307711704317</v>
      </c>
      <c r="C3" s="21">
        <v>0.00916077581096772</v>
      </c>
      <c r="D3" s="21">
        <v>5.64183142990329</v>
      </c>
      <c r="E3" s="21">
        <v>0.160988678398916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3" t="s">
        <v>659</v>
      </c>
      <c r="B4" s="21">
        <v>0.776698644299668</v>
      </c>
      <c r="C4" s="21">
        <v>0.0262917968237334</v>
      </c>
      <c r="D4" s="21">
        <v>3.46675704927365</v>
      </c>
      <c r="E4" s="21">
        <v>0.20096212344332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3" t="s">
        <v>660</v>
      </c>
      <c r="B5" s="21">
        <v>0.751049938635985</v>
      </c>
      <c r="C5" s="21">
        <v>0.0252247269255366</v>
      </c>
      <c r="D5" s="21">
        <v>3.19934615169219</v>
      </c>
      <c r="E5" s="21">
        <v>0.155289770329181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3" t="s">
        <v>661</v>
      </c>
      <c r="B6" s="21">
        <v>0.585034916101485</v>
      </c>
      <c r="C6" s="21">
        <v>0.0456601938855915</v>
      </c>
      <c r="D6" s="21">
        <v>2.2750774433336</v>
      </c>
      <c r="E6" s="21">
        <v>0.11030748037938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2"/>
      <c r="B7" s="21"/>
      <c r="C7" s="21"/>
      <c r="D7" s="21"/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0" t="s">
        <v>662</v>
      </c>
      <c r="B8" s="21"/>
      <c r="C8" s="21"/>
      <c r="D8" s="21"/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3" t="s">
        <v>663</v>
      </c>
      <c r="B9" s="21">
        <v>0.284916001630115</v>
      </c>
      <c r="C9" s="21">
        <v>0.0172713195858584</v>
      </c>
      <c r="D9" s="21">
        <v>12.882</v>
      </c>
      <c r="E9" s="21">
        <v>0.188765259601239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3" t="s">
        <v>659</v>
      </c>
      <c r="B10" s="21">
        <v>0.174435979612495</v>
      </c>
      <c r="C10" s="21">
        <v>0.0412045858604803</v>
      </c>
      <c r="D10" s="21">
        <v>6.918</v>
      </c>
      <c r="E10" s="21">
        <v>0.236720011060247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3" t="s">
        <v>660</v>
      </c>
      <c r="B11" s="21">
        <v>0.230222263339893</v>
      </c>
      <c r="C11" s="21">
        <v>0.0464937291836109</v>
      </c>
      <c r="D11" s="21">
        <v>5.934</v>
      </c>
      <c r="E11" s="21">
        <v>0.215190777467508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3" t="s">
        <v>661</v>
      </c>
      <c r="B12" s="21">
        <v>0.0793175683853014</v>
      </c>
      <c r="C12" s="21">
        <v>0.0511123693996852</v>
      </c>
      <c r="D12" s="21">
        <v>3.306</v>
      </c>
      <c r="E12" s="21">
        <v>0.152302198263713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/>
      <c r="B13" s="21"/>
      <c r="C13" s="21"/>
      <c r="D13" s="21"/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/>
      <c r="B14" s="21"/>
      <c r="C14" s="21"/>
      <c r="D14" s="21"/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/>
      <c r="B15" s="21"/>
      <c r="C15" s="21"/>
      <c r="D15" s="21"/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/>
      <c r="B16" s="21"/>
      <c r="C16" s="21"/>
      <c r="D16" s="21"/>
      <c r="E16" s="2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/>
      <c r="B18" s="21"/>
      <c r="C18" s="21"/>
      <c r="D18" s="21"/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/>
      <c r="B19" s="21"/>
      <c r="C19" s="21"/>
      <c r="D19" s="21"/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/>
      <c r="B20" s="21"/>
      <c r="C20" s="21"/>
      <c r="D20" s="21"/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1"/>
      <c r="C21" s="21"/>
      <c r="D21" s="21"/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1"/>
      <c r="C23" s="21"/>
      <c r="D23" s="21"/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1"/>
      <c r="C24" s="21"/>
      <c r="D24" s="21"/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1"/>
      <c r="C25" s="21"/>
      <c r="D25" s="21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1"/>
      <c r="C28" s="21"/>
      <c r="D28" s="21"/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1"/>
      <c r="C29" s="21"/>
      <c r="D29" s="21"/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1"/>
      <c r="C30" s="21"/>
      <c r="D30" s="21"/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1"/>
      <c r="C32" s="21"/>
      <c r="D32" s="21"/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1"/>
      <c r="C34" s="21"/>
      <c r="D34" s="21"/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1"/>
      <c r="C35" s="21"/>
      <c r="D35" s="21"/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1"/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1"/>
      <c r="C38" s="21"/>
      <c r="D38" s="21"/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1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1"/>
      <c r="C41" s="21"/>
      <c r="D41" s="21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1"/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1"/>
      <c r="C43" s="21"/>
      <c r="D43" s="21"/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1"/>
      <c r="C45" s="21"/>
      <c r="D45" s="21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1"/>
      <c r="C46" s="21"/>
      <c r="D46" s="21"/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1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1"/>
      <c r="C49" s="21"/>
      <c r="D49" s="21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1"/>
      <c r="C50" s="21"/>
      <c r="D50" s="21"/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1"/>
      <c r="C51" s="21"/>
      <c r="D51" s="21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1"/>
      <c r="C53" s="21"/>
      <c r="D53" s="21"/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1"/>
      <c r="C54" s="21"/>
      <c r="D54" s="21"/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1"/>
      <c r="C55" s="21"/>
      <c r="D55" s="21"/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1"/>
      <c r="C56" s="21"/>
      <c r="D56" s="21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1"/>
      <c r="C58" s="21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1"/>
      <c r="C59" s="21"/>
      <c r="D59" s="21"/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1"/>
      <c r="C60" s="21"/>
      <c r="D60" s="21"/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1"/>
      <c r="C62" s="21"/>
      <c r="D62" s="21"/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1"/>
      <c r="C63" s="21"/>
      <c r="D63" s="21"/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1"/>
      <c r="C65" s="21"/>
      <c r="D65" s="21"/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1"/>
      <c r="C67" s="21"/>
      <c r="D67" s="21"/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1"/>
      <c r="C68" s="21"/>
      <c r="D68" s="21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1"/>
      <c r="C69" s="21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1"/>
      <c r="C71" s="21"/>
      <c r="D71" s="21"/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1"/>
      <c r="C72" s="21"/>
      <c r="D72" s="21"/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1"/>
      <c r="C73" s="21"/>
      <c r="D73" s="21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1"/>
      <c r="C74" s="21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1"/>
      <c r="C76" s="21"/>
      <c r="D76" s="21"/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1"/>
      <c r="C77" s="21"/>
      <c r="D77" s="21"/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1"/>
      <c r="C78" s="21"/>
      <c r="D78" s="21"/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1"/>
      <c r="C81" s="21"/>
      <c r="D81" s="21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1"/>
      <c r="C82" s="21"/>
      <c r="D82" s="21"/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1"/>
      <c r="C84" s="21"/>
      <c r="D84" s="21"/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1"/>
      <c r="C85" s="21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1"/>
      <c r="C86" s="21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1"/>
      <c r="C88" s="21"/>
      <c r="D88" s="21"/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1"/>
      <c r="C89" s="21"/>
      <c r="D89" s="21"/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1"/>
      <c r="C90" s="21"/>
      <c r="D90" s="21"/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1"/>
      <c r="C92" s="21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1"/>
      <c r="C93" s="21"/>
      <c r="D93" s="21"/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1"/>
      <c r="C94" s="21"/>
      <c r="D94" s="21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1"/>
      <c r="C95" s="21"/>
      <c r="D95" s="21"/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1"/>
      <c r="C98" s="21"/>
      <c r="D98" s="21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1"/>
      <c r="C99" s="21"/>
      <c r="D99" s="21"/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1"/>
      <c r="C100" s="21"/>
      <c r="D100" s="21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1"/>
      <c r="C102" s="21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1"/>
      <c r="C103" s="21"/>
      <c r="D103" s="21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1"/>
      <c r="C104" s="21"/>
      <c r="D104" s="21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1"/>
      <c r="C105" s="21"/>
      <c r="D105" s="21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1"/>
      <c r="C107" s="21"/>
      <c r="D107" s="21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1"/>
      <c r="C108" s="21"/>
      <c r="D108" s="21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1"/>
      <c r="C109" s="21"/>
      <c r="D109" s="21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1"/>
      <c r="C111" s="21"/>
      <c r="D111" s="21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1"/>
      <c r="C112" s="21"/>
      <c r="D112" s="21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1"/>
      <c r="C113" s="21"/>
      <c r="D113" s="21"/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1"/>
      <c r="C115" s="21"/>
      <c r="D115" s="21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1"/>
      <c r="C116" s="21"/>
      <c r="D116" s="21"/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1"/>
      <c r="C117" s="21"/>
      <c r="D117" s="21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1"/>
      <c r="C118" s="21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1"/>
      <c r="C120" s="21"/>
      <c r="D120" s="21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1"/>
      <c r="C121" s="21"/>
      <c r="D121" s="21"/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1"/>
      <c r="C122" s="21"/>
      <c r="D122" s="21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1"/>
      <c r="C123" s="21"/>
      <c r="D123" s="21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1"/>
      <c r="C125" s="21"/>
      <c r="D125" s="21"/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1"/>
      <c r="C126" s="21"/>
      <c r="D126" s="21"/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1"/>
      <c r="C127" s="21"/>
      <c r="D127" s="21"/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1"/>
      <c r="C129" s="21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1"/>
      <c r="C130" s="21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1"/>
      <c r="C131" s="21"/>
      <c r="D131" s="21"/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1"/>
      <c r="C132" s="21"/>
      <c r="D132" s="21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1"/>
      <c r="C134" s="21"/>
      <c r="D134" s="21"/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1"/>
      <c r="C135" s="21"/>
      <c r="D135" s="21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1"/>
      <c r="C136" s="21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1"/>
      <c r="C138" s="21"/>
      <c r="D138" s="21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1"/>
      <c r="C139" s="21"/>
      <c r="D139" s="21"/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1"/>
      <c r="C140" s="21"/>
      <c r="D140" s="21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1"/>
      <c r="C141" s="21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1"/>
      <c r="C143" s="21"/>
      <c r="D143" s="21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1"/>
      <c r="C144" s="21"/>
      <c r="D144" s="21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1"/>
      <c r="C145" s="21"/>
      <c r="D145" s="21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1"/>
      <c r="C146" s="21"/>
      <c r="D146" s="21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1"/>
      <c r="C148" s="21"/>
      <c r="D148" s="21"/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1"/>
      <c r="C149" s="21"/>
      <c r="D149" s="21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1"/>
      <c r="C150" s="21"/>
      <c r="D150" s="21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1"/>
      <c r="C151" s="21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1"/>
      <c r="C152" s="21"/>
      <c r="D152" s="21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1"/>
      <c r="C153" s="21"/>
      <c r="D153" s="21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1"/>
      <c r="C154" s="21"/>
      <c r="D154" s="21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1"/>
      <c r="C156" s="21"/>
      <c r="D156" s="21"/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1"/>
      <c r="C157" s="21"/>
      <c r="D157" s="21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1"/>
      <c r="C158" s="21"/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1"/>
      <c r="C160" s="21"/>
      <c r="D160" s="21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1"/>
      <c r="C161" s="21"/>
      <c r="D161" s="21"/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1"/>
      <c r="C162" s="21"/>
      <c r="D162" s="21"/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1"/>
      <c r="C163" s="21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1"/>
      <c r="C165" s="21"/>
      <c r="D165" s="21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1"/>
      <c r="C166" s="21"/>
      <c r="D166" s="21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1"/>
      <c r="C167" s="21"/>
      <c r="D167" s="21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1"/>
      <c r="C170" s="21"/>
      <c r="D170" s="21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1"/>
      <c r="C171" s="21"/>
      <c r="D171" s="21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1"/>
      <c r="C172" s="21"/>
      <c r="D172" s="21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1"/>
      <c r="C174" s="21"/>
      <c r="D174" s="21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1"/>
      <c r="C175" s="21"/>
      <c r="D175" s="21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1"/>
      <c r="C176" s="21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1"/>
      <c r="C177" s="21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1"/>
      <c r="C178" s="21"/>
      <c r="D178" s="21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1"/>
      <c r="C179" s="21"/>
      <c r="D179" s="21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1"/>
      <c r="C182" s="21"/>
      <c r="D182" s="21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1"/>
      <c r="C183" s="21"/>
      <c r="D183" s="21"/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1"/>
      <c r="C184" s="21"/>
      <c r="D184" s="21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1"/>
      <c r="C186" s="21"/>
      <c r="D186" s="21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1"/>
      <c r="C187" s="21"/>
      <c r="D187" s="21"/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1"/>
      <c r="C188" s="21"/>
      <c r="D188" s="21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1"/>
      <c r="C191" s="21"/>
      <c r="D191" s="21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1"/>
      <c r="C192" s="21"/>
      <c r="D192" s="21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1"/>
      <c r="C193" s="21"/>
      <c r="D193" s="21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1"/>
      <c r="C195" s="21"/>
      <c r="D195" s="21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1"/>
      <c r="C196" s="21"/>
      <c r="D196" s="21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1"/>
      <c r="C197" s="21"/>
      <c r="D197" s="21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1"/>
      <c r="C198" s="21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1"/>
      <c r="C199" s="21"/>
      <c r="D199" s="21"/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1"/>
      <c r="C200" s="21"/>
      <c r="D200" s="21"/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1"/>
      <c r="C201" s="21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1"/>
      <c r="C203" s="21"/>
      <c r="D203" s="21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1"/>
      <c r="C204" s="21"/>
      <c r="D204" s="21"/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1"/>
      <c r="C205" s="21"/>
      <c r="D205" s="21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1"/>
      <c r="C207" s="21"/>
      <c r="D207" s="21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1"/>
      <c r="C208" s="21"/>
      <c r="D208" s="21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1"/>
      <c r="C209" s="21"/>
      <c r="D209" s="21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1"/>
      <c r="C210" s="21"/>
      <c r="D210" s="21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1"/>
      <c r="C211" s="21"/>
      <c r="D211" s="21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1"/>
      <c r="C212" s="21"/>
      <c r="D212" s="21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1"/>
      <c r="C213" s="21"/>
      <c r="D213" s="21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1"/>
      <c r="C214" s="21"/>
      <c r="D214" s="21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1"/>
      <c r="C216" s="21"/>
      <c r="D216" s="21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1"/>
      <c r="C217" s="21"/>
      <c r="D217" s="21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1"/>
      <c r="C218" s="21"/>
      <c r="D218" s="21"/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1"/>
      <c r="C219" s="21"/>
      <c r="D219" s="21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4"/>
      <c r="C220" s="24"/>
      <c r="D220" s="24"/>
      <c r="E220" s="24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7.88"/>
    <col customWidth="1" min="2" max="2" width="24.88"/>
    <col customWidth="1" min="3" max="3" width="17.63"/>
    <col customWidth="1" min="4" max="4" width="15.38"/>
    <col customWidth="1" min="5" max="5" width="12.38"/>
    <col customWidth="1" min="6" max="6" width="17.0"/>
    <col customWidth="1" min="7" max="7" width="15.63"/>
    <col customWidth="1" min="8" max="8" width="12.63"/>
    <col customWidth="1" min="9" max="9" width="19.88"/>
    <col customWidth="1" min="10" max="10" width="15.13"/>
    <col customWidth="1" min="11" max="12" width="18.13"/>
    <col customWidth="1" min="13" max="26" width="8.63"/>
  </cols>
  <sheetData>
    <row r="1" ht="39.75" customHeight="1">
      <c r="A1" s="25" t="s">
        <v>652</v>
      </c>
      <c r="B1" s="25" t="s">
        <v>664</v>
      </c>
      <c r="C1" s="26" t="s">
        <v>665</v>
      </c>
      <c r="D1" s="26" t="s">
        <v>666</v>
      </c>
      <c r="E1" s="25" t="s">
        <v>667</v>
      </c>
      <c r="F1" s="26" t="s">
        <v>668</v>
      </c>
      <c r="G1" s="26" t="s">
        <v>669</v>
      </c>
      <c r="H1" s="25" t="s">
        <v>667</v>
      </c>
      <c r="I1" s="26" t="s">
        <v>670</v>
      </c>
      <c r="J1" s="26" t="s">
        <v>671</v>
      </c>
      <c r="K1" s="26" t="s">
        <v>672</v>
      </c>
      <c r="L1" s="26" t="s">
        <v>673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7" t="s">
        <v>658</v>
      </c>
      <c r="B2" s="23" t="s">
        <v>674</v>
      </c>
      <c r="C2" s="27">
        <v>100.0</v>
      </c>
      <c r="D2" s="28">
        <v>0.17075305734099</v>
      </c>
      <c r="E2" s="28">
        <v>0.0492069378359378</v>
      </c>
      <c r="F2" s="29">
        <v>9.99900009999E-5</v>
      </c>
      <c r="G2" s="28">
        <v>0.194482941410525</v>
      </c>
      <c r="H2" s="28">
        <v>0.101475904736793</v>
      </c>
      <c r="I2" s="29">
        <v>9.99900009999E-5</v>
      </c>
      <c r="J2" s="30">
        <v>100.0</v>
      </c>
      <c r="K2" s="30">
        <v>96.0</v>
      </c>
      <c r="L2" s="30">
        <v>96.0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B3" s="23" t="s">
        <v>675</v>
      </c>
      <c r="C3" s="27">
        <v>100.0</v>
      </c>
      <c r="D3" s="28">
        <v>0.149603731254624</v>
      </c>
      <c r="E3" s="28">
        <v>0.0452090401568639</v>
      </c>
      <c r="F3" s="29">
        <v>9.99900009999E-5</v>
      </c>
      <c r="G3" s="28">
        <v>0.146834900476284</v>
      </c>
      <c r="H3" s="28">
        <v>0.0877778561514322</v>
      </c>
      <c r="I3" s="29">
        <v>9.99900009999E-5</v>
      </c>
      <c r="J3" s="30">
        <v>100.0</v>
      </c>
      <c r="K3" s="30">
        <v>94.0</v>
      </c>
      <c r="L3" s="30">
        <v>94.0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B4" s="23" t="s">
        <v>676</v>
      </c>
      <c r="C4" s="27">
        <v>93.0</v>
      </c>
      <c r="D4" s="28">
        <v>0.352677717616162</v>
      </c>
      <c r="E4" s="28">
        <v>0.224650117595079</v>
      </c>
      <c r="F4" s="29">
        <v>9.99900009999E-5</v>
      </c>
      <c r="G4" s="28">
        <v>0.325351158974069</v>
      </c>
      <c r="H4" s="28">
        <v>0.25646680904347</v>
      </c>
      <c r="I4" s="29">
        <v>9.99900009999E-5</v>
      </c>
      <c r="J4" s="30">
        <v>96.7741935483871</v>
      </c>
      <c r="K4" s="30">
        <v>88.1720430107526</v>
      </c>
      <c r="L4" s="30">
        <v>87.0967741935483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B5" s="23" t="s">
        <v>677</v>
      </c>
      <c r="C5" s="27">
        <v>100.0</v>
      </c>
      <c r="D5" s="28">
        <v>0.239835931552761</v>
      </c>
      <c r="E5" s="28">
        <v>0.0973144549615116</v>
      </c>
      <c r="F5" s="29">
        <v>9.99900009999E-5</v>
      </c>
      <c r="G5" s="28">
        <v>0.213759331646285</v>
      </c>
      <c r="H5" s="28">
        <v>0.180864840374963</v>
      </c>
      <c r="I5" s="29">
        <v>9.99900009999E-5</v>
      </c>
      <c r="J5" s="30">
        <v>99.0</v>
      </c>
      <c r="K5" s="30">
        <v>87.0</v>
      </c>
      <c r="L5" s="30">
        <v>87.0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B6" s="23" t="s">
        <v>678</v>
      </c>
      <c r="C6" s="27">
        <v>79.0</v>
      </c>
      <c r="D6" s="28">
        <v>0.58367739497022</v>
      </c>
      <c r="E6" s="28">
        <v>0.245594336629048</v>
      </c>
      <c r="F6" s="29">
        <v>9.99900009999E-5</v>
      </c>
      <c r="G6" s="28">
        <v>0.273902958269828</v>
      </c>
      <c r="H6" s="28">
        <v>0.422112727621081</v>
      </c>
      <c r="I6" s="29">
        <v>4.999500049995E-4</v>
      </c>
      <c r="J6" s="30">
        <v>98.7341772151898</v>
      </c>
      <c r="K6" s="30">
        <v>84.8101265822784</v>
      </c>
      <c r="L6" s="30">
        <v>84.8101265822784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B7" s="23" t="s">
        <v>679</v>
      </c>
      <c r="C7" s="27">
        <v>100.0</v>
      </c>
      <c r="D7" s="28">
        <v>0.190798354320929</v>
      </c>
      <c r="E7" s="28">
        <v>0.0830675503276189</v>
      </c>
      <c r="F7" s="29">
        <v>9.99900009999E-5</v>
      </c>
      <c r="G7" s="28">
        <v>0.146564154965825</v>
      </c>
      <c r="H7" s="28">
        <v>0.158169152074709</v>
      </c>
      <c r="I7" s="29">
        <v>0.0027997200279972</v>
      </c>
      <c r="J7" s="30">
        <v>99.0</v>
      </c>
      <c r="K7" s="30">
        <v>82.0</v>
      </c>
      <c r="L7" s="30">
        <v>82.0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B8" s="23" t="s">
        <v>680</v>
      </c>
      <c r="C8" s="27">
        <v>100.0</v>
      </c>
      <c r="D8" s="28">
        <v>0.132879982780529</v>
      </c>
      <c r="E8" s="28">
        <v>0.0783991120639047</v>
      </c>
      <c r="F8" s="29">
        <v>9.99900009999E-5</v>
      </c>
      <c r="G8" s="28">
        <v>0.115700722185419</v>
      </c>
      <c r="H8" s="28">
        <v>0.128886472295793</v>
      </c>
      <c r="I8" s="29">
        <v>0.110388961103889</v>
      </c>
      <c r="J8" s="30">
        <v>95.0</v>
      </c>
      <c r="K8" s="30">
        <v>82.0</v>
      </c>
      <c r="L8" s="30">
        <v>82.0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B9" s="23" t="s">
        <v>681</v>
      </c>
      <c r="C9" s="27">
        <v>100.0</v>
      </c>
      <c r="D9" s="28">
        <v>0.187314088563847</v>
      </c>
      <c r="E9" s="28">
        <v>0.126618379350663</v>
      </c>
      <c r="F9" s="29">
        <v>9.99900009999E-5</v>
      </c>
      <c r="G9" s="28">
        <v>0.165675129672315</v>
      </c>
      <c r="H9" s="28">
        <v>0.384504852323563</v>
      </c>
      <c r="I9" s="29">
        <v>0.0477952204779522</v>
      </c>
      <c r="J9" s="30">
        <v>92.0</v>
      </c>
      <c r="K9" s="30">
        <v>81.0</v>
      </c>
      <c r="L9" s="30">
        <v>75.0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B10" s="23" t="s">
        <v>682</v>
      </c>
      <c r="C10" s="27">
        <v>100.0</v>
      </c>
      <c r="D10" s="28">
        <v>0.17417309501011</v>
      </c>
      <c r="E10" s="28">
        <v>0.154006125450274</v>
      </c>
      <c r="F10" s="29">
        <v>9.99900009999E-5</v>
      </c>
      <c r="G10" s="28">
        <v>0.0722467397169134</v>
      </c>
      <c r="H10" s="28">
        <v>0.275576660157302</v>
      </c>
      <c r="I10" s="29">
        <v>0.841415858414158</v>
      </c>
      <c r="J10" s="30">
        <v>88.0</v>
      </c>
      <c r="K10" s="30">
        <v>63.0</v>
      </c>
      <c r="L10" s="30">
        <v>57.99999999999999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B11" s="23" t="s">
        <v>683</v>
      </c>
      <c r="C11" s="27">
        <v>100.0</v>
      </c>
      <c r="D11" s="28">
        <v>0.279071883299239</v>
      </c>
      <c r="E11" s="28">
        <v>0.246530279639854</v>
      </c>
      <c r="F11" s="29">
        <v>9.99900009999E-5</v>
      </c>
      <c r="G11" s="28">
        <v>-0.0514504594379493</v>
      </c>
      <c r="H11" s="28">
        <v>0.718638640196669</v>
      </c>
      <c r="I11" s="29">
        <v>0.983501649835016</v>
      </c>
      <c r="J11" s="30">
        <v>92.0</v>
      </c>
      <c r="K11" s="30">
        <v>57.99999999999999</v>
      </c>
      <c r="L11" s="30">
        <v>56.00000000000001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B12" s="23" t="s">
        <v>684</v>
      </c>
      <c r="C12" s="27">
        <v>96.0</v>
      </c>
      <c r="D12" s="28">
        <v>0.3341438682754</v>
      </c>
      <c r="E12" s="28">
        <v>0.303231308592858</v>
      </c>
      <c r="F12" s="29">
        <v>9.99900009999E-5</v>
      </c>
      <c r="G12" s="28">
        <v>-0.0225069753602816</v>
      </c>
      <c r="H12" s="28">
        <v>0.671903412297807</v>
      </c>
      <c r="I12" s="29">
        <v>0.957304269573042</v>
      </c>
      <c r="J12" s="30">
        <v>91.6666666666666</v>
      </c>
      <c r="K12" s="30">
        <v>56.25</v>
      </c>
      <c r="L12" s="30">
        <v>53.125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B13" s="23" t="s">
        <v>685</v>
      </c>
      <c r="C13" s="27">
        <v>100.0</v>
      </c>
      <c r="D13" s="28">
        <v>0.189303120932655</v>
      </c>
      <c r="E13" s="28">
        <v>0.230545285374085</v>
      </c>
      <c r="F13" s="29">
        <v>9.99900009999E-5</v>
      </c>
      <c r="G13" s="28">
        <v>-0.0664962972361303</v>
      </c>
      <c r="H13" s="28">
        <v>0.675977970632086</v>
      </c>
      <c r="I13" s="29">
        <v>0.995200479952004</v>
      </c>
      <c r="J13" s="30">
        <v>92.0</v>
      </c>
      <c r="K13" s="30">
        <v>53.0</v>
      </c>
      <c r="L13" s="30">
        <v>48.0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B14" s="23" t="s">
        <v>686</v>
      </c>
      <c r="C14" s="27">
        <v>100.0</v>
      </c>
      <c r="D14" s="28">
        <v>0.0605453562089521</v>
      </c>
      <c r="E14" s="28">
        <v>0.227410089666979</v>
      </c>
      <c r="F14" s="29">
        <v>0.95910408959104</v>
      </c>
      <c r="G14" s="28">
        <v>0.0176378184205921</v>
      </c>
      <c r="H14" s="28">
        <v>0.382733279664286</v>
      </c>
      <c r="I14" s="29">
        <v>0.984101589841015</v>
      </c>
      <c r="J14" s="30">
        <v>66.0</v>
      </c>
      <c r="K14" s="30">
        <v>52.0</v>
      </c>
      <c r="L14" s="30">
        <v>42.0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7" t="s">
        <v>659</v>
      </c>
      <c r="B15" s="23" t="s">
        <v>684</v>
      </c>
      <c r="C15" s="27">
        <v>98.0</v>
      </c>
      <c r="D15" s="28">
        <v>0.0690243538672996</v>
      </c>
      <c r="E15" s="28">
        <v>0.684968399830876</v>
      </c>
      <c r="F15" s="29">
        <v>0.661233876612338</v>
      </c>
      <c r="G15" s="28">
        <v>-0.305211644526454</v>
      </c>
      <c r="H15" s="28">
        <v>2.10792019625972</v>
      </c>
      <c r="I15" s="29">
        <v>0.973202679732026</v>
      </c>
      <c r="J15" s="30">
        <v>72.4489795918367</v>
      </c>
      <c r="K15" s="30">
        <v>65.3061224489795</v>
      </c>
      <c r="L15" s="30">
        <v>55.1020408163265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B16" s="23" t="s">
        <v>677</v>
      </c>
      <c r="C16" s="27">
        <v>100.0</v>
      </c>
      <c r="D16" s="28">
        <v>0.269489006432004</v>
      </c>
      <c r="E16" s="28">
        <v>0.156164647929675</v>
      </c>
      <c r="F16" s="29">
        <v>9.99900009999E-5</v>
      </c>
      <c r="G16" s="28">
        <v>-0.0385187807209168</v>
      </c>
      <c r="H16" s="28">
        <v>0.306925130617993</v>
      </c>
      <c r="I16" s="29">
        <v>1.0</v>
      </c>
      <c r="J16" s="30">
        <v>91.0</v>
      </c>
      <c r="K16" s="30">
        <v>50.0</v>
      </c>
      <c r="L16" s="30">
        <v>49.0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B17" s="23" t="s">
        <v>679</v>
      </c>
      <c r="C17" s="27">
        <v>100.0</v>
      </c>
      <c r="D17" s="28">
        <v>0.159441064360927</v>
      </c>
      <c r="E17" s="28">
        <v>0.0881529725427398</v>
      </c>
      <c r="F17" s="29">
        <v>9.99900009999E-5</v>
      </c>
      <c r="G17" s="28">
        <v>-0.067766400088629</v>
      </c>
      <c r="H17" s="28">
        <v>0.23418729582339</v>
      </c>
      <c r="I17" s="29">
        <v>1.0</v>
      </c>
      <c r="J17" s="30">
        <v>95.0</v>
      </c>
      <c r="K17" s="30">
        <v>44.0</v>
      </c>
      <c r="L17" s="30">
        <v>44.0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B18" s="23" t="s">
        <v>676</v>
      </c>
      <c r="C18" s="27">
        <v>93.0</v>
      </c>
      <c r="D18" s="28">
        <v>0.58773133810935</v>
      </c>
      <c r="E18" s="28">
        <v>0.231865570210451</v>
      </c>
      <c r="F18" s="29">
        <v>9.99900009999E-5</v>
      </c>
      <c r="G18" s="28">
        <v>-0.311340515278493</v>
      </c>
      <c r="H18" s="28">
        <v>0.731311761338993</v>
      </c>
      <c r="I18" s="29">
        <v>1.0</v>
      </c>
      <c r="J18" s="30">
        <v>96.7741935483871</v>
      </c>
      <c r="K18" s="30">
        <v>36.5591397849462</v>
      </c>
      <c r="L18" s="30">
        <v>35.4838709677419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B19" s="23" t="s">
        <v>683</v>
      </c>
      <c r="C19" s="27">
        <v>100.0</v>
      </c>
      <c r="D19" s="28">
        <v>0.127422938523703</v>
      </c>
      <c r="E19" s="28">
        <v>0.171449071318015</v>
      </c>
      <c r="F19" s="29">
        <v>0.061993800619938</v>
      </c>
      <c r="G19" s="28">
        <v>-0.614113495854888</v>
      </c>
      <c r="H19" s="28">
        <v>2.65884200211338</v>
      </c>
      <c r="I19" s="29">
        <v>1.0</v>
      </c>
      <c r="J19" s="30">
        <v>76.0</v>
      </c>
      <c r="K19" s="30">
        <v>39.0</v>
      </c>
      <c r="L19" s="30">
        <v>30.0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B20" s="23" t="s">
        <v>686</v>
      </c>
      <c r="C20" s="27">
        <v>100.0</v>
      </c>
      <c r="D20" s="28">
        <v>-0.0661423026052014</v>
      </c>
      <c r="E20" s="28">
        <v>0.230234008180761</v>
      </c>
      <c r="F20" s="29">
        <v>1.0</v>
      </c>
      <c r="G20" s="28">
        <v>-0.153173251962303</v>
      </c>
      <c r="H20" s="28">
        <v>0.521429036344447</v>
      </c>
      <c r="I20" s="29">
        <v>1.0</v>
      </c>
      <c r="J20" s="30">
        <v>52.0</v>
      </c>
      <c r="K20" s="30">
        <v>40.0</v>
      </c>
      <c r="L20" s="30">
        <v>28.999999999999996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B21" s="23" t="s">
        <v>674</v>
      </c>
      <c r="C21" s="27">
        <v>100.0</v>
      </c>
      <c r="D21" s="28">
        <v>0.21994263735847</v>
      </c>
      <c r="E21" s="28">
        <v>0.0645286896465198</v>
      </c>
      <c r="F21" s="29">
        <v>9.99900009999E-5</v>
      </c>
      <c r="G21" s="28">
        <v>-0.16524843428653</v>
      </c>
      <c r="H21" s="28">
        <v>0.231888936605994</v>
      </c>
      <c r="I21" s="29">
        <v>1.0</v>
      </c>
      <c r="J21" s="30">
        <v>99.0</v>
      </c>
      <c r="K21" s="30">
        <v>25.0</v>
      </c>
      <c r="L21" s="30">
        <v>25.0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B22" s="23" t="s">
        <v>680</v>
      </c>
      <c r="C22" s="27">
        <v>100.0</v>
      </c>
      <c r="D22" s="28">
        <v>0.149583071555827</v>
      </c>
      <c r="E22" s="28">
        <v>0.0807254754645195</v>
      </c>
      <c r="F22" s="29">
        <v>9.99900009999E-5</v>
      </c>
      <c r="G22" s="28">
        <v>-0.148692509587795</v>
      </c>
      <c r="H22" s="28">
        <v>0.195165344440603</v>
      </c>
      <c r="I22" s="29">
        <v>1.0</v>
      </c>
      <c r="J22" s="30">
        <v>94.0</v>
      </c>
      <c r="K22" s="30">
        <v>24.0</v>
      </c>
      <c r="L22" s="30">
        <v>24.0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B23" s="23" t="s">
        <v>678</v>
      </c>
      <c r="C23" s="27">
        <v>83.0</v>
      </c>
      <c r="D23" s="28">
        <v>0.370282959096514</v>
      </c>
      <c r="E23" s="28">
        <v>0.260876321979448</v>
      </c>
      <c r="F23" s="29">
        <v>9.99900009999E-5</v>
      </c>
      <c r="G23" s="28">
        <v>-0.495404642238782</v>
      </c>
      <c r="H23" s="28">
        <v>0.801990953315872</v>
      </c>
      <c r="I23" s="29">
        <v>1.0</v>
      </c>
      <c r="J23" s="30">
        <v>89.1566265060241</v>
      </c>
      <c r="K23" s="30">
        <v>22.891566265060202</v>
      </c>
      <c r="L23" s="30">
        <v>22.891566265060202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B24" s="23" t="s">
        <v>675</v>
      </c>
      <c r="C24" s="27">
        <v>100.0</v>
      </c>
      <c r="D24" s="28">
        <v>0.0872272140117909</v>
      </c>
      <c r="E24" s="28">
        <v>0.0629407062418664</v>
      </c>
      <c r="F24" s="29">
        <v>0.976302369763023</v>
      </c>
      <c r="G24" s="28">
        <v>-0.102286233803127</v>
      </c>
      <c r="H24" s="28">
        <v>0.139444231195501</v>
      </c>
      <c r="I24" s="29">
        <v>1.0</v>
      </c>
      <c r="J24" s="30">
        <v>91.0</v>
      </c>
      <c r="K24" s="30">
        <v>22.0</v>
      </c>
      <c r="L24" s="30">
        <v>21.0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B25" s="23" t="s">
        <v>681</v>
      </c>
      <c r="C25" s="27">
        <v>100.0</v>
      </c>
      <c r="D25" s="28">
        <v>0.225157820707588</v>
      </c>
      <c r="E25" s="28">
        <v>0.177222146550565</v>
      </c>
      <c r="F25" s="29">
        <v>9.99900009999E-5</v>
      </c>
      <c r="G25" s="28">
        <v>-0.85834179795507</v>
      </c>
      <c r="H25" s="28">
        <v>0.896438482478944</v>
      </c>
      <c r="I25" s="29">
        <v>1.0</v>
      </c>
      <c r="J25" s="30">
        <v>90.0</v>
      </c>
      <c r="K25" s="30">
        <v>13.0</v>
      </c>
      <c r="L25" s="30">
        <v>13.0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B26" s="23" t="s">
        <v>685</v>
      </c>
      <c r="C26" s="27">
        <v>100.0</v>
      </c>
      <c r="D26" s="28">
        <v>-0.0402992535874383</v>
      </c>
      <c r="E26" s="28">
        <v>0.135649021898945</v>
      </c>
      <c r="F26" s="29">
        <v>1.0</v>
      </c>
      <c r="G26" s="28">
        <v>-0.984630357686388</v>
      </c>
      <c r="H26" s="28">
        <v>1.03581598314277</v>
      </c>
      <c r="I26" s="29">
        <v>1.0</v>
      </c>
      <c r="J26" s="30">
        <v>46.0</v>
      </c>
      <c r="K26" s="30">
        <v>12.0</v>
      </c>
      <c r="L26" s="30">
        <v>11.0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B27" s="23" t="s">
        <v>682</v>
      </c>
      <c r="C27" s="27">
        <v>100.0</v>
      </c>
      <c r="D27" s="28">
        <v>0.661837801705176</v>
      </c>
      <c r="E27" s="28">
        <v>0.127874446762907</v>
      </c>
      <c r="F27" s="29">
        <v>9.99900009999E-5</v>
      </c>
      <c r="G27" s="28">
        <v>-23.1785006179916</v>
      </c>
      <c r="H27" s="28">
        <v>32.6166017213363</v>
      </c>
      <c r="I27" s="29">
        <v>1.0</v>
      </c>
      <c r="J27" s="30">
        <v>100.0</v>
      </c>
      <c r="K27" s="30">
        <v>0.0</v>
      </c>
      <c r="L27" s="30">
        <v>0.0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1" t="s">
        <v>687</v>
      </c>
      <c r="B28" s="23" t="s">
        <v>674</v>
      </c>
      <c r="C28" s="27">
        <v>100.0</v>
      </c>
      <c r="D28" s="28">
        <v>0.166490198046802</v>
      </c>
      <c r="E28" s="28">
        <v>0.0602832954029127</v>
      </c>
      <c r="F28" s="29">
        <v>9.99900009999E-5</v>
      </c>
      <c r="G28" s="28">
        <v>0.187114890689935</v>
      </c>
      <c r="H28" s="28">
        <v>0.103792191493055</v>
      </c>
      <c r="I28" s="29">
        <v>9.99900009999E-5</v>
      </c>
      <c r="J28" s="30">
        <v>99.0</v>
      </c>
      <c r="K28" s="30">
        <v>95.0</v>
      </c>
      <c r="L28" s="30">
        <v>95.0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B29" s="23" t="s">
        <v>680</v>
      </c>
      <c r="C29" s="27">
        <v>100.0</v>
      </c>
      <c r="D29" s="28">
        <v>0.151899961702192</v>
      </c>
      <c r="E29" s="28">
        <v>0.056682387793663</v>
      </c>
      <c r="F29" s="29">
        <v>9.99900009999E-5</v>
      </c>
      <c r="G29" s="28">
        <v>0.176323400719573</v>
      </c>
      <c r="H29" s="28">
        <v>0.108657224479244</v>
      </c>
      <c r="I29" s="29">
        <v>9.99900009999E-5</v>
      </c>
      <c r="J29" s="30">
        <v>100.0</v>
      </c>
      <c r="K29" s="30">
        <v>94.0</v>
      </c>
      <c r="L29" s="30">
        <v>94.0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B30" s="23" t="s">
        <v>679</v>
      </c>
      <c r="C30" s="27">
        <v>100.0</v>
      </c>
      <c r="D30" s="28">
        <v>0.172520162505694</v>
      </c>
      <c r="E30" s="28">
        <v>0.0613232418796512</v>
      </c>
      <c r="F30" s="29">
        <v>9.99900009999E-5</v>
      </c>
      <c r="G30" s="28">
        <v>0.18869781450079</v>
      </c>
      <c r="H30" s="28">
        <v>0.148605584653786</v>
      </c>
      <c r="I30" s="29">
        <v>9.99900009999E-5</v>
      </c>
      <c r="J30" s="30">
        <v>100.0</v>
      </c>
      <c r="K30" s="30">
        <v>90.0</v>
      </c>
      <c r="L30" s="30">
        <v>90.0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B31" s="23" t="s">
        <v>678</v>
      </c>
      <c r="C31" s="27">
        <v>85.0</v>
      </c>
      <c r="D31" s="28">
        <v>0.583494735863169</v>
      </c>
      <c r="E31" s="28">
        <v>0.297084372991562</v>
      </c>
      <c r="F31" s="29">
        <v>9.99900009999E-5</v>
      </c>
      <c r="G31" s="28">
        <v>-0.0475738902960015</v>
      </c>
      <c r="H31" s="28">
        <v>0.726503875998178</v>
      </c>
      <c r="I31" s="29">
        <v>0.968803119688031</v>
      </c>
      <c r="J31" s="30">
        <v>100.0</v>
      </c>
      <c r="K31" s="30">
        <v>64.7058823529411</v>
      </c>
      <c r="L31" s="30">
        <v>64.7058823529411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B32" s="23" t="s">
        <v>686</v>
      </c>
      <c r="C32" s="27">
        <v>100.0</v>
      </c>
      <c r="D32" s="28">
        <v>0.159584519592893</v>
      </c>
      <c r="E32" s="28">
        <v>0.214645504340053</v>
      </c>
      <c r="F32" s="29">
        <v>0.0026997300269973</v>
      </c>
      <c r="G32" s="28">
        <v>-0.0829055547815791</v>
      </c>
      <c r="H32" s="28">
        <v>0.839312305574376</v>
      </c>
      <c r="I32" s="29">
        <v>0.999800019998</v>
      </c>
      <c r="J32" s="30">
        <v>81.0</v>
      </c>
      <c r="K32" s="30">
        <v>56.00000000000001</v>
      </c>
      <c r="L32" s="30">
        <v>50.0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B33" s="23" t="s">
        <v>676</v>
      </c>
      <c r="C33" s="27">
        <v>97.0</v>
      </c>
      <c r="D33" s="28">
        <v>0.189737813897021</v>
      </c>
      <c r="E33" s="28">
        <v>0.206353591999764</v>
      </c>
      <c r="F33" s="29">
        <v>9.99900009999E-5</v>
      </c>
      <c r="G33" s="28">
        <v>-7.04138412386361E-5</v>
      </c>
      <c r="H33" s="28">
        <v>0.386489488030377</v>
      </c>
      <c r="I33" s="29">
        <v>0.994400559944005</v>
      </c>
      <c r="J33" s="30">
        <v>83.5051546391752</v>
      </c>
      <c r="K33" s="30">
        <v>53.6082474226804</v>
      </c>
      <c r="L33" s="30">
        <v>49.4845360824742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B34" s="23" t="s">
        <v>684</v>
      </c>
      <c r="C34" s="27">
        <v>97.0</v>
      </c>
      <c r="D34" s="28">
        <v>0.116978788603053</v>
      </c>
      <c r="E34" s="28">
        <v>0.260201271394413</v>
      </c>
      <c r="F34" s="29">
        <v>0.271772822717728</v>
      </c>
      <c r="G34" s="28">
        <v>-0.13079978425119</v>
      </c>
      <c r="H34" s="28">
        <v>0.932329053698818</v>
      </c>
      <c r="I34" s="29">
        <v>0.993700629937006</v>
      </c>
      <c r="J34" s="30">
        <v>81.4432989690721</v>
      </c>
      <c r="K34" s="30">
        <v>57.73195876288651</v>
      </c>
      <c r="L34" s="30">
        <v>49.4845360824742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B35" s="23" t="s">
        <v>681</v>
      </c>
      <c r="C35" s="27">
        <v>100.0</v>
      </c>
      <c r="D35" s="28">
        <v>0.119278101072797</v>
      </c>
      <c r="E35" s="28">
        <v>0.226863183776211</v>
      </c>
      <c r="F35" s="29">
        <v>0.191480851914808</v>
      </c>
      <c r="G35" s="28">
        <v>-0.0738189529560714</v>
      </c>
      <c r="H35" s="28">
        <v>0.501922671885445</v>
      </c>
      <c r="I35" s="29">
        <v>0.999800019998</v>
      </c>
      <c r="J35" s="30">
        <v>70.0</v>
      </c>
      <c r="K35" s="30">
        <v>61.0</v>
      </c>
      <c r="L35" s="30">
        <v>48.0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B36" s="23" t="s">
        <v>677</v>
      </c>
      <c r="C36" s="27">
        <v>100.0</v>
      </c>
      <c r="D36" s="28">
        <v>0.127905591013267</v>
      </c>
      <c r="E36" s="28">
        <v>0.107254422878375</v>
      </c>
      <c r="F36" s="29">
        <v>0.0058994100589941</v>
      </c>
      <c r="G36" s="28">
        <v>-0.0439414487529947</v>
      </c>
      <c r="H36" s="28">
        <v>0.292334498259136</v>
      </c>
      <c r="I36" s="29">
        <v>1.0</v>
      </c>
      <c r="J36" s="30">
        <v>87.0</v>
      </c>
      <c r="K36" s="30">
        <v>49.0</v>
      </c>
      <c r="L36" s="30">
        <v>48.0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B37" s="23" t="s">
        <v>683</v>
      </c>
      <c r="C37" s="27">
        <v>100.0</v>
      </c>
      <c r="D37" s="28">
        <v>0.307780719916347</v>
      </c>
      <c r="E37" s="28">
        <v>0.198887762842231</v>
      </c>
      <c r="F37" s="29">
        <v>9.99900009999E-5</v>
      </c>
      <c r="G37" s="28">
        <v>-0.151307878165044</v>
      </c>
      <c r="H37" s="28">
        <v>0.690071647291736</v>
      </c>
      <c r="I37" s="29">
        <v>0.999700029997</v>
      </c>
      <c r="J37" s="30">
        <v>97.0</v>
      </c>
      <c r="K37" s="30">
        <v>45.0</v>
      </c>
      <c r="L37" s="30">
        <v>44.0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B38" s="23" t="s">
        <v>682</v>
      </c>
      <c r="C38" s="27">
        <v>100.0</v>
      </c>
      <c r="D38" s="28">
        <v>0.0839576683510022</v>
      </c>
      <c r="E38" s="28">
        <v>0.171837312438321</v>
      </c>
      <c r="F38" s="29">
        <v>0.824517548245175</v>
      </c>
      <c r="G38" s="28">
        <v>-0.183805811164653</v>
      </c>
      <c r="H38" s="28">
        <v>0.611171360223259</v>
      </c>
      <c r="I38" s="29">
        <v>1.0</v>
      </c>
      <c r="J38" s="30">
        <v>74.0</v>
      </c>
      <c r="K38" s="30">
        <v>43.0</v>
      </c>
      <c r="L38" s="30">
        <v>38.0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B39" s="23" t="s">
        <v>685</v>
      </c>
      <c r="C39" s="27">
        <v>100.0</v>
      </c>
      <c r="D39" s="28">
        <v>0.173647795836391</v>
      </c>
      <c r="E39" s="28">
        <v>0.11470349346317</v>
      </c>
      <c r="F39" s="29">
        <v>9.99900009999E-5</v>
      </c>
      <c r="G39" s="28">
        <v>-0.397789243493024</v>
      </c>
      <c r="H39" s="28">
        <v>0.654320832082132</v>
      </c>
      <c r="I39" s="29">
        <v>1.0</v>
      </c>
      <c r="J39" s="30">
        <v>92.0</v>
      </c>
      <c r="K39" s="30">
        <v>32.0</v>
      </c>
      <c r="L39" s="30">
        <v>31.0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B40" s="23" t="s">
        <v>675</v>
      </c>
      <c r="C40" s="27">
        <v>100.0</v>
      </c>
      <c r="D40" s="28">
        <v>0.525609674932237</v>
      </c>
      <c r="E40" s="28">
        <v>0.0682811758147631</v>
      </c>
      <c r="F40" s="29">
        <v>9.99900009999E-5</v>
      </c>
      <c r="G40" s="28">
        <v>-3.41112065319128</v>
      </c>
      <c r="H40" s="28">
        <v>4.50993158196125</v>
      </c>
      <c r="I40" s="29">
        <v>1.0</v>
      </c>
      <c r="J40" s="30">
        <v>100.0</v>
      </c>
      <c r="K40" s="30">
        <v>3.0</v>
      </c>
      <c r="L40" s="30">
        <v>3.0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7" t="s">
        <v>661</v>
      </c>
      <c r="B41" s="23" t="s">
        <v>679</v>
      </c>
      <c r="C41" s="27">
        <v>100.0</v>
      </c>
      <c r="D41" s="28">
        <v>0.149174334052493</v>
      </c>
      <c r="E41" s="28">
        <v>0.0858109701068566</v>
      </c>
      <c r="F41" s="29">
        <v>9.99900009999E-5</v>
      </c>
      <c r="G41" s="28">
        <v>0.100434238322332</v>
      </c>
      <c r="H41" s="28">
        <v>0.267068227593811</v>
      </c>
      <c r="I41" s="29">
        <v>0.496450354964503</v>
      </c>
      <c r="J41" s="30">
        <v>95.0</v>
      </c>
      <c r="K41" s="30">
        <v>71.0</v>
      </c>
      <c r="L41" s="30">
        <v>69.0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B42" s="23" t="s">
        <v>678</v>
      </c>
      <c r="C42" s="27">
        <v>81.0</v>
      </c>
      <c r="D42" s="28">
        <v>0.202874576989501</v>
      </c>
      <c r="E42" s="28">
        <v>0.420635408009014</v>
      </c>
      <c r="F42" s="29">
        <v>0.008999100089991</v>
      </c>
      <c r="G42" s="28">
        <v>0.0591509713348071</v>
      </c>
      <c r="H42" s="28">
        <v>0.220899041236726</v>
      </c>
      <c r="I42" s="29">
        <v>0.950704929507049</v>
      </c>
      <c r="J42" s="30">
        <v>86.4197530864197</v>
      </c>
      <c r="K42" s="30">
        <v>62.9629629629629</v>
      </c>
      <c r="L42" s="30">
        <v>56.7901234567901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B43" s="23" t="s">
        <v>683</v>
      </c>
      <c r="C43" s="27">
        <v>100.0</v>
      </c>
      <c r="D43" s="28">
        <v>0.183538651477956</v>
      </c>
      <c r="E43" s="28">
        <v>0.273048749748648</v>
      </c>
      <c r="F43" s="29">
        <v>0.0013998600139986</v>
      </c>
      <c r="G43" s="28">
        <v>-0.535352782144191</v>
      </c>
      <c r="H43" s="28">
        <v>1.5471738446408</v>
      </c>
      <c r="I43" s="29">
        <v>1.0</v>
      </c>
      <c r="J43" s="30">
        <v>83.0</v>
      </c>
      <c r="K43" s="30">
        <v>45.0</v>
      </c>
      <c r="L43" s="30">
        <v>40.0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B44" s="23" t="s">
        <v>676</v>
      </c>
      <c r="C44" s="27">
        <v>97.0</v>
      </c>
      <c r="D44" s="28">
        <v>0.10990092726386</v>
      </c>
      <c r="E44" s="28">
        <v>0.140899185398278</v>
      </c>
      <c r="F44" s="29">
        <v>0.237476252374762</v>
      </c>
      <c r="G44" s="28">
        <v>-0.0688524230241771</v>
      </c>
      <c r="H44" s="28">
        <v>0.298383221034131</v>
      </c>
      <c r="I44" s="29">
        <v>1.0</v>
      </c>
      <c r="J44" s="30">
        <v>81.4432989690721</v>
      </c>
      <c r="K44" s="30">
        <v>46.3917525773195</v>
      </c>
      <c r="L44" s="30">
        <v>38.144329896907195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B45" s="23" t="s">
        <v>680</v>
      </c>
      <c r="C45" s="27">
        <v>100.0</v>
      </c>
      <c r="D45" s="28">
        <v>0.0816025595949275</v>
      </c>
      <c r="E45" s="28">
        <v>0.0707557655680674</v>
      </c>
      <c r="F45" s="29">
        <v>0.994300569943005</v>
      </c>
      <c r="G45" s="28">
        <v>-0.117764220471891</v>
      </c>
      <c r="H45" s="28">
        <v>0.172168190674514</v>
      </c>
      <c r="I45" s="29">
        <v>1.0</v>
      </c>
      <c r="J45" s="30">
        <v>90.0</v>
      </c>
      <c r="K45" s="30">
        <v>28.999999999999996</v>
      </c>
      <c r="L45" s="30">
        <v>28.999999999999996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B46" s="23" t="s">
        <v>685</v>
      </c>
      <c r="C46" s="27">
        <v>100.0</v>
      </c>
      <c r="D46" s="28">
        <v>0.144701659762594</v>
      </c>
      <c r="E46" s="28">
        <v>0.1607425797417</v>
      </c>
      <c r="F46" s="29">
        <v>0.0031996800319968</v>
      </c>
      <c r="G46" s="28">
        <v>-0.828449198644136</v>
      </c>
      <c r="H46" s="28">
        <v>3.07164916391566</v>
      </c>
      <c r="I46" s="29">
        <v>1.0</v>
      </c>
      <c r="J46" s="30">
        <v>86.0</v>
      </c>
      <c r="K46" s="30">
        <v>32.0</v>
      </c>
      <c r="L46" s="30">
        <v>28.999999999999996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B47" s="23" t="s">
        <v>686</v>
      </c>
      <c r="C47" s="27">
        <v>99.0</v>
      </c>
      <c r="D47" s="28">
        <v>-0.0648447204228577</v>
      </c>
      <c r="E47" s="28">
        <v>0.251355214647848</v>
      </c>
      <c r="F47" s="29">
        <v>1.0</v>
      </c>
      <c r="G47" s="28">
        <v>-0.111710755839412</v>
      </c>
      <c r="H47" s="28">
        <v>0.343762929045513</v>
      </c>
      <c r="I47" s="29">
        <v>1.0</v>
      </c>
      <c r="J47" s="30">
        <v>52.5252525252525</v>
      </c>
      <c r="K47" s="30">
        <v>36.363636363636296</v>
      </c>
      <c r="L47" s="30">
        <v>21.2121212121212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B48" s="23" t="s">
        <v>684</v>
      </c>
      <c r="C48" s="27">
        <v>95.0</v>
      </c>
      <c r="D48" s="28">
        <v>-0.225387398499819</v>
      </c>
      <c r="E48" s="28">
        <v>0.85252533352725</v>
      </c>
      <c r="F48" s="29">
        <v>1.0</v>
      </c>
      <c r="G48" s="28">
        <v>-0.488921282095928</v>
      </c>
      <c r="H48" s="28">
        <v>1.54189277956555</v>
      </c>
      <c r="I48" s="29">
        <v>1.0</v>
      </c>
      <c r="J48" s="30">
        <v>35.7894736842105</v>
      </c>
      <c r="K48" s="30">
        <v>52.631578947368396</v>
      </c>
      <c r="L48" s="30">
        <v>20.0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B49" s="23" t="s">
        <v>681</v>
      </c>
      <c r="C49" s="27">
        <v>100.0</v>
      </c>
      <c r="D49" s="28">
        <v>-0.026508722965329</v>
      </c>
      <c r="E49" s="28">
        <v>0.105728535303254</v>
      </c>
      <c r="F49" s="29">
        <v>1.0</v>
      </c>
      <c r="G49" s="28">
        <v>-0.267748272617791</v>
      </c>
      <c r="H49" s="28">
        <v>0.499514505431221</v>
      </c>
      <c r="I49" s="29">
        <v>1.0</v>
      </c>
      <c r="J49" s="30">
        <v>37.0</v>
      </c>
      <c r="K49" s="30">
        <v>37.0</v>
      </c>
      <c r="L49" s="30">
        <v>17.0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B50" s="23" t="s">
        <v>677</v>
      </c>
      <c r="C50" s="27">
        <v>100.0</v>
      </c>
      <c r="D50" s="28">
        <v>-0.0200261696317355</v>
      </c>
      <c r="E50" s="28">
        <v>0.0764127283008102</v>
      </c>
      <c r="F50" s="29">
        <v>1.0</v>
      </c>
      <c r="G50" s="28">
        <v>-0.266615080792597</v>
      </c>
      <c r="H50" s="28">
        <v>0.380604974598355</v>
      </c>
      <c r="I50" s="29">
        <v>1.0</v>
      </c>
      <c r="J50" s="30">
        <v>42.0</v>
      </c>
      <c r="K50" s="30">
        <v>25.0</v>
      </c>
      <c r="L50" s="30">
        <v>12.0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B51" s="23" t="s">
        <v>675</v>
      </c>
      <c r="C51" s="27">
        <v>100.0</v>
      </c>
      <c r="D51" s="28">
        <v>0.382754179236813</v>
      </c>
      <c r="E51" s="28">
        <v>0.0693869777879102</v>
      </c>
      <c r="F51" s="29">
        <v>9.99900009999E-5</v>
      </c>
      <c r="G51" s="28">
        <v>-1.83767831639899</v>
      </c>
      <c r="H51" s="28">
        <v>2.82556640263036</v>
      </c>
      <c r="I51" s="29">
        <v>1.0</v>
      </c>
      <c r="J51" s="30">
        <v>100.0</v>
      </c>
      <c r="K51" s="30">
        <v>4.0</v>
      </c>
      <c r="L51" s="30">
        <v>4.0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B52" s="23" t="s">
        <v>682</v>
      </c>
      <c r="C52" s="27">
        <v>100.0</v>
      </c>
      <c r="D52" s="28">
        <v>-0.405639854114668</v>
      </c>
      <c r="E52" s="28">
        <v>0.497326866166832</v>
      </c>
      <c r="F52" s="29">
        <v>1.0</v>
      </c>
      <c r="G52" s="28">
        <v>-0.989420320561297</v>
      </c>
      <c r="H52" s="28">
        <v>0.967213719663655</v>
      </c>
      <c r="I52" s="29">
        <v>1.0</v>
      </c>
      <c r="J52" s="30">
        <v>12.0</v>
      </c>
      <c r="K52" s="30">
        <v>6.0</v>
      </c>
      <c r="L52" s="30">
        <v>3.0</v>
      </c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B53" s="23" t="s">
        <v>674</v>
      </c>
      <c r="C53" s="27">
        <v>100.0</v>
      </c>
      <c r="D53" s="28">
        <v>0.00779289259809732</v>
      </c>
      <c r="E53" s="28">
        <v>0.0619332961076986</v>
      </c>
      <c r="F53" s="29">
        <v>1.0</v>
      </c>
      <c r="G53" s="28">
        <v>-0.320168017602167</v>
      </c>
      <c r="H53" s="28">
        <v>0.215327992458699</v>
      </c>
      <c r="I53" s="29">
        <v>1.0</v>
      </c>
      <c r="J53" s="30">
        <v>64.0</v>
      </c>
      <c r="K53" s="30">
        <v>1.0</v>
      </c>
      <c r="L53" s="30">
        <v>1.0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4">
    <mergeCell ref="A2:A14"/>
    <mergeCell ref="A15:A27"/>
    <mergeCell ref="A28:A40"/>
    <mergeCell ref="A41:A5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5"/>
    <col customWidth="1" min="2" max="2" width="20.88"/>
    <col customWidth="1" min="3" max="3" width="14.5"/>
    <col customWidth="1" min="4" max="4" width="14.13"/>
    <col customWidth="1" min="5" max="5" width="13.88"/>
    <col customWidth="1" min="6" max="7" width="17.63"/>
    <col customWidth="1" min="8" max="8" width="20.5"/>
    <col customWidth="1" min="9" max="9" width="20.63"/>
    <col customWidth="1" min="10" max="10" width="14.5"/>
    <col customWidth="1" min="11" max="11" width="16.0"/>
    <col customWidth="1" min="12" max="12" width="12.0"/>
    <col customWidth="1" min="13" max="13" width="15.0"/>
    <col customWidth="1" min="14" max="14" width="14.5"/>
    <col customWidth="1" min="15" max="15" width="16.13"/>
    <col customWidth="1" min="16" max="25" width="9.13"/>
  </cols>
  <sheetData>
    <row r="1" ht="60.0" customHeight="1">
      <c r="A1" s="32" t="s">
        <v>688</v>
      </c>
      <c r="B1" s="32" t="s">
        <v>689</v>
      </c>
      <c r="C1" s="33" t="s">
        <v>690</v>
      </c>
      <c r="D1" s="33" t="s">
        <v>691</v>
      </c>
      <c r="E1" s="33" t="s">
        <v>692</v>
      </c>
      <c r="F1" s="33" t="s">
        <v>693</v>
      </c>
      <c r="G1" s="33" t="s">
        <v>694</v>
      </c>
      <c r="H1" s="33" t="s">
        <v>695</v>
      </c>
      <c r="I1" s="33" t="s">
        <v>696</v>
      </c>
      <c r="J1" s="33" t="s">
        <v>697</v>
      </c>
      <c r="K1" s="33" t="s">
        <v>698</v>
      </c>
      <c r="L1" s="33" t="s">
        <v>699</v>
      </c>
      <c r="M1" s="33" t="s">
        <v>700</v>
      </c>
      <c r="N1" s="33" t="s">
        <v>701</v>
      </c>
      <c r="O1" s="33" t="s">
        <v>702</v>
      </c>
      <c r="P1" s="34"/>
      <c r="Q1" s="35"/>
      <c r="R1" s="35"/>
      <c r="S1" s="35"/>
      <c r="T1" s="35"/>
      <c r="U1" s="35"/>
      <c r="V1" s="35"/>
      <c r="W1" s="35"/>
      <c r="X1" s="35"/>
      <c r="Y1" s="35"/>
    </row>
    <row r="2">
      <c r="A2" s="36" t="s">
        <v>703</v>
      </c>
      <c r="B2" s="36" t="s">
        <v>703</v>
      </c>
      <c r="C2" s="37">
        <v>106542.0</v>
      </c>
      <c r="D2" s="38">
        <f t="shared" ref="D2:D99" si="1">F2+H2</f>
        <v>32105</v>
      </c>
      <c r="E2" s="39">
        <f t="shared" ref="E2:E135" si="2">(D2/C2)*100</f>
        <v>30.13365621</v>
      </c>
      <c r="F2" s="37">
        <v>31548.0</v>
      </c>
      <c r="G2" s="39">
        <f t="shared" ref="G2:G135" si="3">(F2/C2)*100</f>
        <v>29.61085769</v>
      </c>
      <c r="H2" s="37">
        <v>557.0</v>
      </c>
      <c r="I2" s="39">
        <f t="shared" ref="I2:I135" si="4">(H2/C2)*100</f>
        <v>0.5227985208</v>
      </c>
      <c r="J2" s="38">
        <f t="shared" ref="J2:J135" si="5">L2+H2</f>
        <v>13135</v>
      </c>
      <c r="K2" s="39">
        <f t="shared" ref="K2:K135" si="6">(J2/C2)*100</f>
        <v>12.3284714</v>
      </c>
      <c r="L2" s="37">
        <v>12578.0</v>
      </c>
      <c r="M2" s="39">
        <f t="shared" ref="M2:M135" si="7">(L2/C2)*100</f>
        <v>11.80567288</v>
      </c>
      <c r="N2" s="37">
        <v>61859.0</v>
      </c>
      <c r="O2" s="39">
        <f t="shared" ref="O2:O135" si="8">(N2/C2)*100</f>
        <v>58.06067091</v>
      </c>
      <c r="P2" s="35"/>
      <c r="Q2" s="35"/>
      <c r="R2" s="35"/>
      <c r="S2" s="35"/>
      <c r="T2" s="35"/>
      <c r="U2" s="35"/>
      <c r="V2" s="35"/>
      <c r="W2" s="35"/>
      <c r="X2" s="35"/>
      <c r="Y2" s="35"/>
    </row>
    <row r="3">
      <c r="A3" s="36" t="s">
        <v>704</v>
      </c>
      <c r="B3" s="36" t="s">
        <v>704</v>
      </c>
      <c r="C3" s="37">
        <v>54298.0</v>
      </c>
      <c r="D3" s="38">
        <f t="shared" si="1"/>
        <v>18914</v>
      </c>
      <c r="E3" s="39">
        <f t="shared" si="2"/>
        <v>34.83369553</v>
      </c>
      <c r="F3" s="37">
        <v>15024.0</v>
      </c>
      <c r="G3" s="39">
        <f t="shared" si="3"/>
        <v>27.66952742</v>
      </c>
      <c r="H3" s="37">
        <v>3890.0</v>
      </c>
      <c r="I3" s="39">
        <f t="shared" si="4"/>
        <v>7.164168109</v>
      </c>
      <c r="J3" s="38">
        <f t="shared" si="5"/>
        <v>16744</v>
      </c>
      <c r="K3" s="39">
        <f t="shared" si="6"/>
        <v>30.83723157</v>
      </c>
      <c r="L3" s="37">
        <v>12854.0</v>
      </c>
      <c r="M3" s="39">
        <f t="shared" si="7"/>
        <v>23.67306346</v>
      </c>
      <c r="N3" s="37">
        <v>22530.0</v>
      </c>
      <c r="O3" s="39">
        <f t="shared" si="8"/>
        <v>41.493241</v>
      </c>
      <c r="P3" s="35"/>
      <c r="Q3" s="35"/>
      <c r="R3" s="35"/>
      <c r="S3" s="35"/>
      <c r="T3" s="35"/>
      <c r="U3" s="35"/>
      <c r="V3" s="35"/>
      <c r="W3" s="35"/>
      <c r="X3" s="35"/>
      <c r="Y3" s="35"/>
    </row>
    <row r="4">
      <c r="A4" s="36" t="s">
        <v>705</v>
      </c>
      <c r="B4" s="36" t="s">
        <v>705</v>
      </c>
      <c r="C4" s="37">
        <v>61484.0</v>
      </c>
      <c r="D4" s="38">
        <f t="shared" si="1"/>
        <v>18390</v>
      </c>
      <c r="E4" s="39">
        <f t="shared" si="2"/>
        <v>29.91022055</v>
      </c>
      <c r="F4" s="37">
        <v>15494.0</v>
      </c>
      <c r="G4" s="39">
        <f t="shared" si="3"/>
        <v>25.20005205</v>
      </c>
      <c r="H4" s="37">
        <v>2896.0</v>
      </c>
      <c r="I4" s="39">
        <f t="shared" si="4"/>
        <v>4.710168499</v>
      </c>
      <c r="J4" s="38">
        <f t="shared" si="5"/>
        <v>10198</v>
      </c>
      <c r="K4" s="39">
        <f t="shared" si="6"/>
        <v>16.58642899</v>
      </c>
      <c r="L4" s="37">
        <v>7302.0</v>
      </c>
      <c r="M4" s="39">
        <f t="shared" si="7"/>
        <v>11.87626049</v>
      </c>
      <c r="N4" s="37">
        <v>35792.0</v>
      </c>
      <c r="O4" s="39">
        <f t="shared" si="8"/>
        <v>58.21351896</v>
      </c>
      <c r="P4" s="35"/>
      <c r="Q4" s="35"/>
      <c r="R4" s="35"/>
      <c r="S4" s="35"/>
      <c r="T4" s="35"/>
      <c r="U4" s="35"/>
      <c r="V4" s="35"/>
      <c r="W4" s="35"/>
      <c r="X4" s="35"/>
      <c r="Y4" s="35"/>
    </row>
    <row r="5">
      <c r="A5" s="36" t="s">
        <v>706</v>
      </c>
      <c r="B5" s="36" t="s">
        <v>706</v>
      </c>
      <c r="C5" s="37">
        <v>69470.0</v>
      </c>
      <c r="D5" s="38">
        <f t="shared" si="1"/>
        <v>16150</v>
      </c>
      <c r="E5" s="39">
        <f t="shared" si="2"/>
        <v>23.24744494</v>
      </c>
      <c r="F5" s="37">
        <v>7378.0</v>
      </c>
      <c r="G5" s="39">
        <f t="shared" si="3"/>
        <v>10.62041169</v>
      </c>
      <c r="H5" s="37">
        <v>8772.0</v>
      </c>
      <c r="I5" s="39">
        <f t="shared" si="4"/>
        <v>12.62703325</v>
      </c>
      <c r="J5" s="38">
        <f t="shared" si="5"/>
        <v>40153</v>
      </c>
      <c r="K5" s="39">
        <f t="shared" si="6"/>
        <v>57.79904995</v>
      </c>
      <c r="L5" s="37">
        <v>31381.0</v>
      </c>
      <c r="M5" s="39">
        <f t="shared" si="7"/>
        <v>45.1720167</v>
      </c>
      <c r="N5" s="37">
        <v>21939.0</v>
      </c>
      <c r="O5" s="39">
        <f t="shared" si="8"/>
        <v>31.58053836</v>
      </c>
      <c r="P5" s="35"/>
      <c r="Q5" s="35"/>
      <c r="R5" s="35"/>
      <c r="S5" s="35"/>
      <c r="T5" s="35"/>
      <c r="U5" s="35"/>
      <c r="V5" s="35"/>
      <c r="W5" s="35"/>
      <c r="X5" s="35"/>
      <c r="Y5" s="35"/>
    </row>
    <row r="6">
      <c r="A6" s="36" t="s">
        <v>707</v>
      </c>
      <c r="B6" s="36" t="s">
        <v>707</v>
      </c>
      <c r="C6" s="37">
        <v>33732.0</v>
      </c>
      <c r="D6" s="38">
        <f t="shared" si="1"/>
        <v>15196</v>
      </c>
      <c r="E6" s="39">
        <f t="shared" si="2"/>
        <v>45.04921143</v>
      </c>
      <c r="F6" s="37">
        <v>11276.0</v>
      </c>
      <c r="G6" s="39">
        <f t="shared" si="3"/>
        <v>33.42819874</v>
      </c>
      <c r="H6" s="37">
        <v>3920.0</v>
      </c>
      <c r="I6" s="39">
        <f t="shared" si="4"/>
        <v>11.62101269</v>
      </c>
      <c r="J6" s="38">
        <f t="shared" si="5"/>
        <v>10099</v>
      </c>
      <c r="K6" s="39">
        <f t="shared" si="6"/>
        <v>29.93893039</v>
      </c>
      <c r="L6" s="37">
        <v>6179.0</v>
      </c>
      <c r="M6" s="39">
        <f t="shared" si="7"/>
        <v>18.3179177</v>
      </c>
      <c r="N6" s="37">
        <v>12357.0</v>
      </c>
      <c r="O6" s="39">
        <f t="shared" si="8"/>
        <v>36.63287086</v>
      </c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6" t="s">
        <v>708</v>
      </c>
      <c r="B7" s="36" t="s">
        <v>708</v>
      </c>
      <c r="C7" s="37">
        <v>21611.0</v>
      </c>
      <c r="D7" s="38">
        <f t="shared" si="1"/>
        <v>5590</v>
      </c>
      <c r="E7" s="39">
        <f t="shared" si="2"/>
        <v>25.8664569</v>
      </c>
      <c r="F7" s="37">
        <v>5070.0</v>
      </c>
      <c r="G7" s="39">
        <f t="shared" si="3"/>
        <v>23.46027486</v>
      </c>
      <c r="H7" s="37">
        <v>520.0</v>
      </c>
      <c r="I7" s="39">
        <f t="shared" si="4"/>
        <v>2.406182037</v>
      </c>
      <c r="J7" s="38">
        <f t="shared" si="5"/>
        <v>1571</v>
      </c>
      <c r="K7" s="39">
        <f t="shared" si="6"/>
        <v>7.269446115</v>
      </c>
      <c r="L7" s="37">
        <v>1051.0</v>
      </c>
      <c r="M7" s="39">
        <f t="shared" si="7"/>
        <v>4.863264078</v>
      </c>
      <c r="N7" s="37">
        <v>14970.0</v>
      </c>
      <c r="O7" s="39">
        <f t="shared" si="8"/>
        <v>69.27027902</v>
      </c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6" t="s">
        <v>709</v>
      </c>
      <c r="B8" s="36" t="s">
        <v>709</v>
      </c>
      <c r="C8" s="37">
        <v>14286.0</v>
      </c>
      <c r="D8" s="38">
        <f t="shared" si="1"/>
        <v>4485</v>
      </c>
      <c r="E8" s="39">
        <f t="shared" si="2"/>
        <v>31.39437211</v>
      </c>
      <c r="F8" s="37">
        <v>3359.0</v>
      </c>
      <c r="G8" s="39">
        <f t="shared" si="3"/>
        <v>23.51252975</v>
      </c>
      <c r="H8" s="37">
        <v>1126.0</v>
      </c>
      <c r="I8" s="39">
        <f t="shared" si="4"/>
        <v>7.881842363</v>
      </c>
      <c r="J8" s="38">
        <f t="shared" si="5"/>
        <v>3992</v>
      </c>
      <c r="K8" s="39">
        <f t="shared" si="6"/>
        <v>27.94344113</v>
      </c>
      <c r="L8" s="37">
        <v>2866.0</v>
      </c>
      <c r="M8" s="39">
        <f t="shared" si="7"/>
        <v>20.06159877</v>
      </c>
      <c r="N8" s="37">
        <v>6935.0</v>
      </c>
      <c r="O8" s="39">
        <f t="shared" si="8"/>
        <v>48.54402912</v>
      </c>
      <c r="P8" s="35"/>
      <c r="Q8" s="35"/>
      <c r="R8" s="35"/>
      <c r="S8" s="35"/>
      <c r="T8" s="35"/>
      <c r="U8" s="35"/>
      <c r="V8" s="35"/>
      <c r="W8" s="35"/>
      <c r="X8" s="35"/>
      <c r="Y8" s="35"/>
    </row>
    <row r="9">
      <c r="A9" s="36" t="s">
        <v>710</v>
      </c>
      <c r="B9" s="36" t="s">
        <v>710</v>
      </c>
      <c r="C9" s="37">
        <v>9610.0</v>
      </c>
      <c r="D9" s="38">
        <f t="shared" si="1"/>
        <v>3949</v>
      </c>
      <c r="E9" s="39">
        <f t="shared" si="2"/>
        <v>41.09261186</v>
      </c>
      <c r="F9" s="37">
        <v>3315.0</v>
      </c>
      <c r="G9" s="39">
        <f t="shared" si="3"/>
        <v>34.49531738</v>
      </c>
      <c r="H9" s="37">
        <v>634.0</v>
      </c>
      <c r="I9" s="39">
        <f t="shared" si="4"/>
        <v>6.597294485</v>
      </c>
      <c r="J9" s="38">
        <f t="shared" si="5"/>
        <v>2225</v>
      </c>
      <c r="K9" s="39">
        <f t="shared" si="6"/>
        <v>23.15296566</v>
      </c>
      <c r="L9" s="37">
        <v>1591.0</v>
      </c>
      <c r="M9" s="39">
        <f t="shared" si="7"/>
        <v>16.55567118</v>
      </c>
      <c r="N9" s="37">
        <v>4070.0</v>
      </c>
      <c r="O9" s="39">
        <f t="shared" si="8"/>
        <v>42.35171696</v>
      </c>
      <c r="P9" s="35"/>
      <c r="Q9" s="35"/>
      <c r="R9" s="35"/>
      <c r="S9" s="35"/>
      <c r="T9" s="35"/>
      <c r="U9" s="35"/>
      <c r="V9" s="35"/>
      <c r="W9" s="35"/>
      <c r="X9" s="35"/>
      <c r="Y9" s="35"/>
    </row>
    <row r="10">
      <c r="A10" s="36" t="s">
        <v>711</v>
      </c>
      <c r="B10" s="36" t="s">
        <v>711</v>
      </c>
      <c r="C10" s="37">
        <v>10667.0</v>
      </c>
      <c r="D10" s="38">
        <f t="shared" si="1"/>
        <v>3432</v>
      </c>
      <c r="E10" s="39">
        <f t="shared" si="2"/>
        <v>32.17399456</v>
      </c>
      <c r="F10" s="37">
        <v>2080.0</v>
      </c>
      <c r="G10" s="39">
        <f t="shared" si="3"/>
        <v>19.49939064</v>
      </c>
      <c r="H10" s="37">
        <v>1352.0</v>
      </c>
      <c r="I10" s="39">
        <f t="shared" si="4"/>
        <v>12.67460392</v>
      </c>
      <c r="J10" s="38">
        <f t="shared" si="5"/>
        <v>4014</v>
      </c>
      <c r="K10" s="39">
        <f t="shared" si="6"/>
        <v>37.63007406</v>
      </c>
      <c r="L10" s="37">
        <v>2662.0</v>
      </c>
      <c r="M10" s="39">
        <f t="shared" si="7"/>
        <v>24.95547014</v>
      </c>
      <c r="N10" s="37">
        <v>4573.0</v>
      </c>
      <c r="O10" s="39">
        <f t="shared" si="8"/>
        <v>42.8705353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>
      <c r="A11" s="36" t="s">
        <v>712</v>
      </c>
      <c r="B11" s="36" t="s">
        <v>713</v>
      </c>
      <c r="C11" s="37">
        <v>8718.0</v>
      </c>
      <c r="D11" s="38">
        <f t="shared" si="1"/>
        <v>2531</v>
      </c>
      <c r="E11" s="39">
        <f t="shared" si="2"/>
        <v>29.03188805</v>
      </c>
      <c r="F11" s="37">
        <v>867.0</v>
      </c>
      <c r="G11" s="39">
        <f t="shared" si="3"/>
        <v>9.9449415</v>
      </c>
      <c r="H11" s="37">
        <v>1664.0</v>
      </c>
      <c r="I11" s="39">
        <f t="shared" si="4"/>
        <v>19.08694655</v>
      </c>
      <c r="J11" s="38">
        <f t="shared" si="5"/>
        <v>5475</v>
      </c>
      <c r="K11" s="39">
        <f t="shared" si="6"/>
        <v>62.80110117</v>
      </c>
      <c r="L11" s="37">
        <v>3811.0</v>
      </c>
      <c r="M11" s="39">
        <f t="shared" si="7"/>
        <v>43.71415462</v>
      </c>
      <c r="N11" s="37">
        <v>2376.0</v>
      </c>
      <c r="O11" s="39">
        <f t="shared" si="8"/>
        <v>27.25395733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>
      <c r="A12" s="36" t="s">
        <v>714</v>
      </c>
      <c r="B12" s="36" t="s">
        <v>714</v>
      </c>
      <c r="C12" s="37">
        <v>6133.0</v>
      </c>
      <c r="D12" s="38">
        <f t="shared" si="1"/>
        <v>2233</v>
      </c>
      <c r="E12" s="39">
        <f t="shared" si="2"/>
        <v>36.40958748</v>
      </c>
      <c r="F12" s="37">
        <v>1602.0</v>
      </c>
      <c r="G12" s="39">
        <f t="shared" si="3"/>
        <v>26.12098484</v>
      </c>
      <c r="H12" s="37">
        <v>631.0</v>
      </c>
      <c r="I12" s="39">
        <f t="shared" si="4"/>
        <v>10.28860264</v>
      </c>
      <c r="J12" s="38">
        <f t="shared" si="5"/>
        <v>1923</v>
      </c>
      <c r="K12" s="39">
        <f t="shared" si="6"/>
        <v>31.35496494</v>
      </c>
      <c r="L12" s="37">
        <v>1292.0</v>
      </c>
      <c r="M12" s="39">
        <f t="shared" si="7"/>
        <v>21.0663623</v>
      </c>
      <c r="N12" s="37">
        <v>2608.0</v>
      </c>
      <c r="O12" s="39">
        <f t="shared" si="8"/>
        <v>42.52405022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>
      <c r="A13" s="36" t="s">
        <v>715</v>
      </c>
      <c r="B13" s="36" t="s">
        <v>715</v>
      </c>
      <c r="C13" s="37">
        <v>4678.0</v>
      </c>
      <c r="D13" s="38">
        <f t="shared" si="1"/>
        <v>2086</v>
      </c>
      <c r="E13" s="39">
        <f t="shared" si="2"/>
        <v>44.59170586</v>
      </c>
      <c r="F13" s="37">
        <v>185.0</v>
      </c>
      <c r="G13" s="39">
        <f t="shared" si="3"/>
        <v>3.954681488</v>
      </c>
      <c r="H13" s="37">
        <v>1901.0</v>
      </c>
      <c r="I13" s="39">
        <f t="shared" si="4"/>
        <v>40.63702437</v>
      </c>
      <c r="J13" s="38">
        <f t="shared" si="5"/>
        <v>4356</v>
      </c>
      <c r="K13" s="39">
        <f t="shared" si="6"/>
        <v>93.11671655</v>
      </c>
      <c r="L13" s="37">
        <v>2455.0</v>
      </c>
      <c r="M13" s="39">
        <f t="shared" si="7"/>
        <v>52.47969218</v>
      </c>
      <c r="N13" s="37">
        <v>137.0</v>
      </c>
      <c r="O13" s="39">
        <f t="shared" si="8"/>
        <v>2.928601967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>
      <c r="A14" s="36" t="s">
        <v>712</v>
      </c>
      <c r="B14" s="36" t="s">
        <v>716</v>
      </c>
      <c r="C14" s="37">
        <v>9547.0</v>
      </c>
      <c r="D14" s="38">
        <f t="shared" si="1"/>
        <v>2011</v>
      </c>
      <c r="E14" s="39">
        <f t="shared" si="2"/>
        <v>21.06420865</v>
      </c>
      <c r="F14" s="37">
        <v>2011.0</v>
      </c>
      <c r="G14" s="39">
        <f t="shared" si="3"/>
        <v>21.06420865</v>
      </c>
      <c r="H14" s="37">
        <v>0.0</v>
      </c>
      <c r="I14" s="39">
        <f t="shared" si="4"/>
        <v>0</v>
      </c>
      <c r="J14" s="38">
        <f t="shared" si="5"/>
        <v>0</v>
      </c>
      <c r="K14" s="39">
        <f t="shared" si="6"/>
        <v>0</v>
      </c>
      <c r="L14" s="37">
        <v>0.0</v>
      </c>
      <c r="M14" s="39">
        <f t="shared" si="7"/>
        <v>0</v>
      </c>
      <c r="N14" s="37">
        <v>7536.0</v>
      </c>
      <c r="O14" s="39">
        <f t="shared" si="8"/>
        <v>78.93579135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>
      <c r="A15" s="36" t="s">
        <v>717</v>
      </c>
      <c r="B15" s="36" t="s">
        <v>718</v>
      </c>
      <c r="C15" s="37">
        <v>2880.0</v>
      </c>
      <c r="D15" s="38">
        <f t="shared" si="1"/>
        <v>1816</v>
      </c>
      <c r="E15" s="39">
        <f t="shared" si="2"/>
        <v>63.05555556</v>
      </c>
      <c r="F15" s="37">
        <v>1816.0</v>
      </c>
      <c r="G15" s="39">
        <f t="shared" si="3"/>
        <v>63.05555556</v>
      </c>
      <c r="H15" s="37">
        <v>0.0</v>
      </c>
      <c r="I15" s="39">
        <f t="shared" si="4"/>
        <v>0</v>
      </c>
      <c r="J15" s="38">
        <f t="shared" si="5"/>
        <v>0</v>
      </c>
      <c r="K15" s="39">
        <f t="shared" si="6"/>
        <v>0</v>
      </c>
      <c r="L15" s="37">
        <v>0.0</v>
      </c>
      <c r="M15" s="39">
        <f t="shared" si="7"/>
        <v>0</v>
      </c>
      <c r="N15" s="37">
        <v>1064.0</v>
      </c>
      <c r="O15" s="39">
        <f t="shared" si="8"/>
        <v>36.94444444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>
      <c r="A16" s="36" t="s">
        <v>719</v>
      </c>
      <c r="B16" s="36" t="s">
        <v>719</v>
      </c>
      <c r="C16" s="37">
        <v>6138.0</v>
      </c>
      <c r="D16" s="38">
        <f t="shared" si="1"/>
        <v>1674</v>
      </c>
      <c r="E16" s="39">
        <f t="shared" si="2"/>
        <v>27.27272727</v>
      </c>
      <c r="F16" s="37">
        <v>1017.0</v>
      </c>
      <c r="G16" s="39">
        <f t="shared" si="3"/>
        <v>16.56891496</v>
      </c>
      <c r="H16" s="37">
        <v>657.0</v>
      </c>
      <c r="I16" s="39">
        <f t="shared" si="4"/>
        <v>10.70381232</v>
      </c>
      <c r="J16" s="38">
        <f t="shared" si="5"/>
        <v>1593</v>
      </c>
      <c r="K16" s="39">
        <f t="shared" si="6"/>
        <v>25.95307918</v>
      </c>
      <c r="L16" s="37">
        <v>936.0</v>
      </c>
      <c r="M16" s="39">
        <f t="shared" si="7"/>
        <v>15.24926686</v>
      </c>
      <c r="N16" s="37">
        <v>3528.0</v>
      </c>
      <c r="O16" s="39">
        <f t="shared" si="8"/>
        <v>57.47800587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36" t="s">
        <v>720</v>
      </c>
      <c r="B17" s="36" t="s">
        <v>720</v>
      </c>
      <c r="C17" s="37">
        <v>5229.0</v>
      </c>
      <c r="D17" s="38">
        <f t="shared" si="1"/>
        <v>1643</v>
      </c>
      <c r="E17" s="39">
        <f t="shared" si="2"/>
        <v>31.42092178</v>
      </c>
      <c r="F17" s="37">
        <v>887.0</v>
      </c>
      <c r="G17" s="39">
        <f t="shared" si="3"/>
        <v>16.96309046</v>
      </c>
      <c r="H17" s="37">
        <v>756.0</v>
      </c>
      <c r="I17" s="39">
        <f t="shared" si="4"/>
        <v>14.45783133</v>
      </c>
      <c r="J17" s="38">
        <f t="shared" si="5"/>
        <v>1477</v>
      </c>
      <c r="K17" s="39">
        <f t="shared" si="6"/>
        <v>28.24631861</v>
      </c>
      <c r="L17" s="37">
        <v>721.0</v>
      </c>
      <c r="M17" s="39">
        <f t="shared" si="7"/>
        <v>13.78848728</v>
      </c>
      <c r="N17" s="37">
        <v>2865.0</v>
      </c>
      <c r="O17" s="39">
        <f t="shared" si="8"/>
        <v>54.79059094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>
      <c r="A18" s="36" t="s">
        <v>721</v>
      </c>
      <c r="B18" s="36" t="s">
        <v>721</v>
      </c>
      <c r="C18" s="37">
        <v>6239.0</v>
      </c>
      <c r="D18" s="38">
        <f t="shared" si="1"/>
        <v>1614</v>
      </c>
      <c r="E18" s="39">
        <f t="shared" si="2"/>
        <v>25.86953037</v>
      </c>
      <c r="F18" s="37">
        <v>1428.0</v>
      </c>
      <c r="G18" s="39">
        <f t="shared" si="3"/>
        <v>22.88828338</v>
      </c>
      <c r="H18" s="37">
        <v>186.0</v>
      </c>
      <c r="I18" s="39">
        <f t="shared" si="4"/>
        <v>2.981246995</v>
      </c>
      <c r="J18" s="38">
        <f t="shared" si="5"/>
        <v>1335</v>
      </c>
      <c r="K18" s="39">
        <f t="shared" si="6"/>
        <v>21.39765988</v>
      </c>
      <c r="L18" s="37">
        <v>1149.0</v>
      </c>
      <c r="M18" s="39">
        <f t="shared" si="7"/>
        <v>18.41641289</v>
      </c>
      <c r="N18" s="37">
        <v>3476.0</v>
      </c>
      <c r="O18" s="39">
        <f t="shared" si="8"/>
        <v>55.71405674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36" t="s">
        <v>722</v>
      </c>
      <c r="B19" s="36" t="s">
        <v>723</v>
      </c>
      <c r="C19" s="37">
        <v>4746.0</v>
      </c>
      <c r="D19" s="38">
        <f t="shared" si="1"/>
        <v>1563</v>
      </c>
      <c r="E19" s="39">
        <f t="shared" si="2"/>
        <v>32.93299621</v>
      </c>
      <c r="F19" s="37">
        <v>1563.0</v>
      </c>
      <c r="G19" s="39">
        <f t="shared" si="3"/>
        <v>32.93299621</v>
      </c>
      <c r="H19" s="37">
        <v>0.0</v>
      </c>
      <c r="I19" s="39">
        <f t="shared" si="4"/>
        <v>0</v>
      </c>
      <c r="J19" s="38">
        <f t="shared" si="5"/>
        <v>0</v>
      </c>
      <c r="K19" s="39">
        <f t="shared" si="6"/>
        <v>0</v>
      </c>
      <c r="L19" s="37">
        <v>0.0</v>
      </c>
      <c r="M19" s="39">
        <f t="shared" si="7"/>
        <v>0</v>
      </c>
      <c r="N19" s="37">
        <v>3183.0</v>
      </c>
      <c r="O19" s="39">
        <f t="shared" si="8"/>
        <v>67.06700379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>
      <c r="A20" s="36" t="s">
        <v>724</v>
      </c>
      <c r="B20" s="36" t="s">
        <v>724</v>
      </c>
      <c r="C20" s="37">
        <v>4228.0</v>
      </c>
      <c r="D20" s="38">
        <f t="shared" si="1"/>
        <v>1530</v>
      </c>
      <c r="E20" s="39">
        <f t="shared" si="2"/>
        <v>36.18732261</v>
      </c>
      <c r="F20" s="37">
        <v>301.0</v>
      </c>
      <c r="G20" s="39">
        <f t="shared" si="3"/>
        <v>7.119205298</v>
      </c>
      <c r="H20" s="37">
        <v>1229.0</v>
      </c>
      <c r="I20" s="39">
        <f t="shared" si="4"/>
        <v>29.06811731</v>
      </c>
      <c r="J20" s="38">
        <f t="shared" si="5"/>
        <v>3405</v>
      </c>
      <c r="K20" s="39">
        <f t="shared" si="6"/>
        <v>80.53453169</v>
      </c>
      <c r="L20" s="37">
        <v>2176.0</v>
      </c>
      <c r="M20" s="39">
        <f t="shared" si="7"/>
        <v>51.46641438</v>
      </c>
      <c r="N20" s="37">
        <v>522.0</v>
      </c>
      <c r="O20" s="39">
        <f t="shared" si="8"/>
        <v>12.34626301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5.75" customHeight="1">
      <c r="A21" s="36" t="s">
        <v>725</v>
      </c>
      <c r="B21" s="36" t="s">
        <v>725</v>
      </c>
      <c r="C21" s="37">
        <v>3293.0</v>
      </c>
      <c r="D21" s="38">
        <f t="shared" si="1"/>
        <v>1497</v>
      </c>
      <c r="E21" s="39">
        <f t="shared" si="2"/>
        <v>45.46006681</v>
      </c>
      <c r="F21" s="37">
        <v>1497.0</v>
      </c>
      <c r="G21" s="39">
        <f t="shared" si="3"/>
        <v>45.46006681</v>
      </c>
      <c r="H21" s="37">
        <v>0.0</v>
      </c>
      <c r="I21" s="39">
        <f t="shared" si="4"/>
        <v>0</v>
      </c>
      <c r="J21" s="38">
        <f t="shared" si="5"/>
        <v>0</v>
      </c>
      <c r="K21" s="39">
        <f t="shared" si="6"/>
        <v>0</v>
      </c>
      <c r="L21" s="37">
        <v>0.0</v>
      </c>
      <c r="M21" s="39">
        <f t="shared" si="7"/>
        <v>0</v>
      </c>
      <c r="N21" s="37">
        <v>1796.0</v>
      </c>
      <c r="O21" s="39">
        <f t="shared" si="8"/>
        <v>54.53993319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15.75" customHeight="1">
      <c r="A22" s="36" t="s">
        <v>726</v>
      </c>
      <c r="B22" s="36" t="s">
        <v>727</v>
      </c>
      <c r="C22" s="37">
        <v>5208.0</v>
      </c>
      <c r="D22" s="38">
        <f t="shared" si="1"/>
        <v>1480</v>
      </c>
      <c r="E22" s="39">
        <f t="shared" si="2"/>
        <v>28.41781874</v>
      </c>
      <c r="F22" s="37">
        <v>1480.0</v>
      </c>
      <c r="G22" s="39">
        <f t="shared" si="3"/>
        <v>28.41781874</v>
      </c>
      <c r="H22" s="37">
        <v>0.0</v>
      </c>
      <c r="I22" s="39">
        <f t="shared" si="4"/>
        <v>0</v>
      </c>
      <c r="J22" s="38">
        <f t="shared" si="5"/>
        <v>0</v>
      </c>
      <c r="K22" s="39">
        <f t="shared" si="6"/>
        <v>0</v>
      </c>
      <c r="L22" s="37">
        <v>0.0</v>
      </c>
      <c r="M22" s="39">
        <f t="shared" si="7"/>
        <v>0</v>
      </c>
      <c r="N22" s="37">
        <v>3728.0</v>
      </c>
      <c r="O22" s="39">
        <f t="shared" si="8"/>
        <v>71.58218126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6" t="s">
        <v>728</v>
      </c>
      <c r="B23" s="36" t="s">
        <v>728</v>
      </c>
      <c r="C23" s="37">
        <v>5081.0</v>
      </c>
      <c r="D23" s="38">
        <f t="shared" si="1"/>
        <v>1448</v>
      </c>
      <c r="E23" s="39">
        <f t="shared" si="2"/>
        <v>28.4983271</v>
      </c>
      <c r="F23" s="37">
        <v>1448.0</v>
      </c>
      <c r="G23" s="39">
        <f t="shared" si="3"/>
        <v>28.4983271</v>
      </c>
      <c r="H23" s="37">
        <v>0.0</v>
      </c>
      <c r="I23" s="39">
        <f t="shared" si="4"/>
        <v>0</v>
      </c>
      <c r="J23" s="38">
        <f t="shared" si="5"/>
        <v>0</v>
      </c>
      <c r="K23" s="39">
        <f t="shared" si="6"/>
        <v>0</v>
      </c>
      <c r="L23" s="37">
        <v>0.0</v>
      </c>
      <c r="M23" s="39">
        <f t="shared" si="7"/>
        <v>0</v>
      </c>
      <c r="N23" s="37">
        <v>3633.0</v>
      </c>
      <c r="O23" s="39">
        <f t="shared" si="8"/>
        <v>71.5016729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6" t="s">
        <v>729</v>
      </c>
      <c r="B24" s="36" t="s">
        <v>729</v>
      </c>
      <c r="C24" s="37">
        <v>2007.0</v>
      </c>
      <c r="D24" s="38">
        <f t="shared" si="1"/>
        <v>1403</v>
      </c>
      <c r="E24" s="39">
        <f t="shared" si="2"/>
        <v>69.90533134</v>
      </c>
      <c r="F24" s="37">
        <v>1403.0</v>
      </c>
      <c r="G24" s="39">
        <f t="shared" si="3"/>
        <v>69.90533134</v>
      </c>
      <c r="H24" s="37">
        <v>0.0</v>
      </c>
      <c r="I24" s="39">
        <f t="shared" si="4"/>
        <v>0</v>
      </c>
      <c r="J24" s="38">
        <f t="shared" si="5"/>
        <v>0</v>
      </c>
      <c r="K24" s="39">
        <f t="shared" si="6"/>
        <v>0</v>
      </c>
      <c r="L24" s="37">
        <v>0.0</v>
      </c>
      <c r="M24" s="39">
        <f t="shared" si="7"/>
        <v>0</v>
      </c>
      <c r="N24" s="37">
        <v>604.0</v>
      </c>
      <c r="O24" s="39">
        <f t="shared" si="8"/>
        <v>30.09466866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6" t="s">
        <v>730</v>
      </c>
      <c r="B25" s="36" t="s">
        <v>730</v>
      </c>
      <c r="C25" s="37">
        <v>2818.0</v>
      </c>
      <c r="D25" s="38">
        <f t="shared" si="1"/>
        <v>1340</v>
      </c>
      <c r="E25" s="39">
        <f t="shared" si="2"/>
        <v>47.55145493</v>
      </c>
      <c r="F25" s="37">
        <v>477.0</v>
      </c>
      <c r="G25" s="39">
        <f t="shared" si="3"/>
        <v>16.92689851</v>
      </c>
      <c r="H25" s="37">
        <v>863.0</v>
      </c>
      <c r="I25" s="39">
        <f t="shared" si="4"/>
        <v>30.62455642</v>
      </c>
      <c r="J25" s="38">
        <f t="shared" si="5"/>
        <v>1443</v>
      </c>
      <c r="K25" s="39">
        <f t="shared" si="6"/>
        <v>51.20652945</v>
      </c>
      <c r="L25" s="37">
        <v>580.0</v>
      </c>
      <c r="M25" s="39">
        <f t="shared" si="7"/>
        <v>20.58197303</v>
      </c>
      <c r="N25" s="37">
        <v>898.0</v>
      </c>
      <c r="O25" s="39">
        <f t="shared" si="8"/>
        <v>31.86657204</v>
      </c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6" t="s">
        <v>722</v>
      </c>
      <c r="B26" s="36" t="s">
        <v>722</v>
      </c>
      <c r="C26" s="37">
        <v>4033.0</v>
      </c>
      <c r="D26" s="38">
        <f t="shared" si="1"/>
        <v>1179</v>
      </c>
      <c r="E26" s="39">
        <f t="shared" si="2"/>
        <v>29.23382098</v>
      </c>
      <c r="F26" s="37">
        <v>1179.0</v>
      </c>
      <c r="G26" s="39">
        <f t="shared" si="3"/>
        <v>29.23382098</v>
      </c>
      <c r="H26" s="37">
        <v>0.0</v>
      </c>
      <c r="I26" s="39">
        <f t="shared" si="4"/>
        <v>0</v>
      </c>
      <c r="J26" s="38">
        <f t="shared" si="5"/>
        <v>0</v>
      </c>
      <c r="K26" s="39">
        <f t="shared" si="6"/>
        <v>0</v>
      </c>
      <c r="L26" s="37">
        <v>0.0</v>
      </c>
      <c r="M26" s="39">
        <f t="shared" si="7"/>
        <v>0</v>
      </c>
      <c r="N26" s="37">
        <v>2854.0</v>
      </c>
      <c r="O26" s="39">
        <f t="shared" si="8"/>
        <v>70.76617902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6" t="s">
        <v>731</v>
      </c>
      <c r="B27" s="36" t="s">
        <v>731</v>
      </c>
      <c r="C27" s="37">
        <v>2091.0</v>
      </c>
      <c r="D27" s="38">
        <f t="shared" si="1"/>
        <v>1101</v>
      </c>
      <c r="E27" s="39">
        <f t="shared" si="2"/>
        <v>52.65423242</v>
      </c>
      <c r="F27" s="37">
        <v>1101.0</v>
      </c>
      <c r="G27" s="39">
        <f t="shared" si="3"/>
        <v>52.65423242</v>
      </c>
      <c r="H27" s="37">
        <v>0.0</v>
      </c>
      <c r="I27" s="39">
        <f t="shared" si="4"/>
        <v>0</v>
      </c>
      <c r="J27" s="38">
        <f t="shared" si="5"/>
        <v>0</v>
      </c>
      <c r="K27" s="39">
        <f t="shared" si="6"/>
        <v>0</v>
      </c>
      <c r="L27" s="37">
        <v>0.0</v>
      </c>
      <c r="M27" s="39">
        <f t="shared" si="7"/>
        <v>0</v>
      </c>
      <c r="N27" s="37">
        <v>990.0</v>
      </c>
      <c r="O27" s="39">
        <f t="shared" si="8"/>
        <v>47.34576758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6" t="s">
        <v>732</v>
      </c>
      <c r="B28" s="36" t="s">
        <v>732</v>
      </c>
      <c r="C28" s="37">
        <v>4287.0</v>
      </c>
      <c r="D28" s="38">
        <f t="shared" si="1"/>
        <v>1003</v>
      </c>
      <c r="E28" s="39">
        <f t="shared" si="2"/>
        <v>23.39631444</v>
      </c>
      <c r="F28" s="37">
        <v>737.0</v>
      </c>
      <c r="G28" s="39">
        <f t="shared" si="3"/>
        <v>17.19150921</v>
      </c>
      <c r="H28" s="37">
        <v>266.0</v>
      </c>
      <c r="I28" s="39">
        <f t="shared" si="4"/>
        <v>6.204805225</v>
      </c>
      <c r="J28" s="38">
        <f t="shared" si="5"/>
        <v>1123</v>
      </c>
      <c r="K28" s="39">
        <f t="shared" si="6"/>
        <v>26.19547469</v>
      </c>
      <c r="L28" s="37">
        <v>857.0</v>
      </c>
      <c r="M28" s="39">
        <f t="shared" si="7"/>
        <v>19.99066947</v>
      </c>
      <c r="N28" s="37">
        <v>2427.0</v>
      </c>
      <c r="O28" s="39">
        <f t="shared" si="8"/>
        <v>56.6130161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6" t="s">
        <v>733</v>
      </c>
      <c r="B29" s="36" t="s">
        <v>734</v>
      </c>
      <c r="C29" s="37">
        <v>3332.0</v>
      </c>
      <c r="D29" s="38">
        <f t="shared" si="1"/>
        <v>978</v>
      </c>
      <c r="E29" s="39">
        <f t="shared" si="2"/>
        <v>29.3517407</v>
      </c>
      <c r="F29" s="37">
        <v>978.0</v>
      </c>
      <c r="G29" s="39">
        <f t="shared" si="3"/>
        <v>29.3517407</v>
      </c>
      <c r="H29" s="37">
        <v>0.0</v>
      </c>
      <c r="I29" s="39">
        <f t="shared" si="4"/>
        <v>0</v>
      </c>
      <c r="J29" s="38">
        <f t="shared" si="5"/>
        <v>0</v>
      </c>
      <c r="K29" s="39">
        <f t="shared" si="6"/>
        <v>0</v>
      </c>
      <c r="L29" s="37">
        <v>0.0</v>
      </c>
      <c r="M29" s="39">
        <f t="shared" si="7"/>
        <v>0</v>
      </c>
      <c r="N29" s="37">
        <v>2354.0</v>
      </c>
      <c r="O29" s="39">
        <f t="shared" si="8"/>
        <v>70.6482593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6" t="s">
        <v>735</v>
      </c>
      <c r="B30" s="36" t="s">
        <v>735</v>
      </c>
      <c r="C30" s="37">
        <v>3247.0</v>
      </c>
      <c r="D30" s="38">
        <f t="shared" si="1"/>
        <v>932</v>
      </c>
      <c r="E30" s="39">
        <f t="shared" si="2"/>
        <v>28.70341854</v>
      </c>
      <c r="F30" s="37">
        <v>146.0</v>
      </c>
      <c r="G30" s="39">
        <f t="shared" si="3"/>
        <v>4.496458269</v>
      </c>
      <c r="H30" s="37">
        <v>786.0</v>
      </c>
      <c r="I30" s="39">
        <f t="shared" si="4"/>
        <v>24.20696027</v>
      </c>
      <c r="J30" s="38">
        <f t="shared" si="5"/>
        <v>2673</v>
      </c>
      <c r="K30" s="39">
        <f t="shared" si="6"/>
        <v>82.32214352</v>
      </c>
      <c r="L30" s="37">
        <v>1887.0</v>
      </c>
      <c r="M30" s="39">
        <f t="shared" si="7"/>
        <v>58.11518325</v>
      </c>
      <c r="N30" s="37">
        <v>428.0</v>
      </c>
      <c r="O30" s="39">
        <f t="shared" si="8"/>
        <v>13.18139821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6" t="s">
        <v>736</v>
      </c>
      <c r="B31" s="36" t="s">
        <v>736</v>
      </c>
      <c r="C31" s="37">
        <v>3543.0</v>
      </c>
      <c r="D31" s="38">
        <f t="shared" si="1"/>
        <v>914</v>
      </c>
      <c r="E31" s="39">
        <f t="shared" si="2"/>
        <v>25.79734688</v>
      </c>
      <c r="F31" s="37">
        <v>914.0</v>
      </c>
      <c r="G31" s="39">
        <f t="shared" si="3"/>
        <v>25.79734688</v>
      </c>
      <c r="H31" s="37">
        <v>0.0</v>
      </c>
      <c r="I31" s="39">
        <f t="shared" si="4"/>
        <v>0</v>
      </c>
      <c r="J31" s="38">
        <f t="shared" si="5"/>
        <v>0</v>
      </c>
      <c r="K31" s="39">
        <f t="shared" si="6"/>
        <v>0</v>
      </c>
      <c r="L31" s="37">
        <v>0.0</v>
      </c>
      <c r="M31" s="39">
        <f t="shared" si="7"/>
        <v>0</v>
      </c>
      <c r="N31" s="37">
        <v>2629.0</v>
      </c>
      <c r="O31" s="39">
        <f t="shared" si="8"/>
        <v>74.20265312</v>
      </c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6" t="s">
        <v>737</v>
      </c>
      <c r="B32" s="36" t="s">
        <v>737</v>
      </c>
      <c r="C32" s="37">
        <v>2265.0</v>
      </c>
      <c r="D32" s="38">
        <f t="shared" si="1"/>
        <v>867</v>
      </c>
      <c r="E32" s="39">
        <f t="shared" si="2"/>
        <v>38.2781457</v>
      </c>
      <c r="F32" s="37">
        <v>196.0</v>
      </c>
      <c r="G32" s="39">
        <f t="shared" si="3"/>
        <v>8.653421634</v>
      </c>
      <c r="H32" s="37">
        <v>671.0</v>
      </c>
      <c r="I32" s="39">
        <f t="shared" si="4"/>
        <v>29.62472406</v>
      </c>
      <c r="J32" s="38">
        <f t="shared" si="5"/>
        <v>1660</v>
      </c>
      <c r="K32" s="39">
        <f t="shared" si="6"/>
        <v>73.28918322</v>
      </c>
      <c r="L32" s="37">
        <v>989.0</v>
      </c>
      <c r="M32" s="39">
        <f t="shared" si="7"/>
        <v>43.66445916</v>
      </c>
      <c r="N32" s="37">
        <v>409.0</v>
      </c>
      <c r="O32" s="39">
        <f t="shared" si="8"/>
        <v>18.05739514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6" t="s">
        <v>730</v>
      </c>
      <c r="B33" s="36" t="s">
        <v>738</v>
      </c>
      <c r="C33" s="37">
        <v>2915.0</v>
      </c>
      <c r="D33" s="38">
        <f t="shared" si="1"/>
        <v>852</v>
      </c>
      <c r="E33" s="39">
        <f t="shared" si="2"/>
        <v>29.22813036</v>
      </c>
      <c r="F33" s="37">
        <v>767.0</v>
      </c>
      <c r="G33" s="39">
        <f t="shared" si="3"/>
        <v>26.31217839</v>
      </c>
      <c r="H33" s="37">
        <v>85.0</v>
      </c>
      <c r="I33" s="39">
        <f t="shared" si="4"/>
        <v>2.915951973</v>
      </c>
      <c r="J33" s="38">
        <f t="shared" si="5"/>
        <v>617</v>
      </c>
      <c r="K33" s="39">
        <f t="shared" si="6"/>
        <v>21.16638079</v>
      </c>
      <c r="L33" s="37">
        <v>532.0</v>
      </c>
      <c r="M33" s="39">
        <f t="shared" si="7"/>
        <v>18.25042882</v>
      </c>
      <c r="N33" s="37">
        <v>1531.0</v>
      </c>
      <c r="O33" s="39">
        <f t="shared" si="8"/>
        <v>52.52144082</v>
      </c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6" t="s">
        <v>739</v>
      </c>
      <c r="B34" s="36" t="s">
        <v>739</v>
      </c>
      <c r="C34" s="37">
        <v>2772.0</v>
      </c>
      <c r="D34" s="38">
        <f t="shared" si="1"/>
        <v>836</v>
      </c>
      <c r="E34" s="39">
        <f t="shared" si="2"/>
        <v>30.15873016</v>
      </c>
      <c r="F34" s="37">
        <v>836.0</v>
      </c>
      <c r="G34" s="39">
        <f t="shared" si="3"/>
        <v>30.15873016</v>
      </c>
      <c r="H34" s="37">
        <v>0.0</v>
      </c>
      <c r="I34" s="39">
        <f t="shared" si="4"/>
        <v>0</v>
      </c>
      <c r="J34" s="38">
        <f t="shared" si="5"/>
        <v>0</v>
      </c>
      <c r="K34" s="39">
        <f t="shared" si="6"/>
        <v>0</v>
      </c>
      <c r="L34" s="37">
        <v>0.0</v>
      </c>
      <c r="M34" s="39">
        <f t="shared" si="7"/>
        <v>0</v>
      </c>
      <c r="N34" s="37">
        <v>1936.0</v>
      </c>
      <c r="O34" s="39">
        <f t="shared" si="8"/>
        <v>69.84126984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6" t="s">
        <v>740</v>
      </c>
      <c r="B35" s="36" t="s">
        <v>740</v>
      </c>
      <c r="C35" s="37">
        <v>2873.0</v>
      </c>
      <c r="D35" s="38">
        <f t="shared" si="1"/>
        <v>825</v>
      </c>
      <c r="E35" s="39">
        <f t="shared" si="2"/>
        <v>28.71562826</v>
      </c>
      <c r="F35" s="37">
        <v>809.0</v>
      </c>
      <c r="G35" s="39">
        <f t="shared" si="3"/>
        <v>28.15871911</v>
      </c>
      <c r="H35" s="37">
        <v>16.0</v>
      </c>
      <c r="I35" s="39">
        <f t="shared" si="4"/>
        <v>0.5569091542</v>
      </c>
      <c r="J35" s="38">
        <f t="shared" si="5"/>
        <v>109</v>
      </c>
      <c r="K35" s="39">
        <f t="shared" si="6"/>
        <v>3.793943613</v>
      </c>
      <c r="L35" s="37">
        <v>93.0</v>
      </c>
      <c r="M35" s="39">
        <f t="shared" si="7"/>
        <v>3.237034459</v>
      </c>
      <c r="N35" s="37">
        <v>1955.0</v>
      </c>
      <c r="O35" s="39">
        <f t="shared" si="8"/>
        <v>68.04733728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6" t="s">
        <v>741</v>
      </c>
      <c r="B36" s="36" t="s">
        <v>741</v>
      </c>
      <c r="C36" s="37">
        <v>2244.0</v>
      </c>
      <c r="D36" s="38">
        <f t="shared" si="1"/>
        <v>811</v>
      </c>
      <c r="E36" s="39">
        <f t="shared" si="2"/>
        <v>36.14081996</v>
      </c>
      <c r="F36" s="37">
        <v>717.0</v>
      </c>
      <c r="G36" s="39">
        <f t="shared" si="3"/>
        <v>31.95187166</v>
      </c>
      <c r="H36" s="37">
        <v>94.0</v>
      </c>
      <c r="I36" s="39">
        <f t="shared" si="4"/>
        <v>4.188948307</v>
      </c>
      <c r="J36" s="38">
        <f t="shared" si="5"/>
        <v>409</v>
      </c>
      <c r="K36" s="39">
        <f t="shared" si="6"/>
        <v>18.22638146</v>
      </c>
      <c r="L36" s="37">
        <v>315.0</v>
      </c>
      <c r="M36" s="39">
        <f t="shared" si="7"/>
        <v>14.03743316</v>
      </c>
      <c r="N36" s="37">
        <v>1118.0</v>
      </c>
      <c r="O36" s="39">
        <f t="shared" si="8"/>
        <v>49.82174688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6" t="s">
        <v>742</v>
      </c>
      <c r="B37" s="36" t="s">
        <v>742</v>
      </c>
      <c r="C37" s="37">
        <v>2635.0</v>
      </c>
      <c r="D37" s="38">
        <f t="shared" si="1"/>
        <v>807</v>
      </c>
      <c r="E37" s="39">
        <f t="shared" si="2"/>
        <v>30.62618596</v>
      </c>
      <c r="F37" s="37">
        <v>203.0</v>
      </c>
      <c r="G37" s="39">
        <f t="shared" si="3"/>
        <v>7.70398482</v>
      </c>
      <c r="H37" s="37">
        <v>604.0</v>
      </c>
      <c r="I37" s="39">
        <f t="shared" si="4"/>
        <v>22.92220114</v>
      </c>
      <c r="J37" s="38">
        <f t="shared" si="5"/>
        <v>2045</v>
      </c>
      <c r="K37" s="39">
        <f t="shared" si="6"/>
        <v>77.60910816</v>
      </c>
      <c r="L37" s="37">
        <v>1441.0</v>
      </c>
      <c r="M37" s="39">
        <f t="shared" si="7"/>
        <v>54.68690702</v>
      </c>
      <c r="N37" s="37">
        <v>387.0</v>
      </c>
      <c r="O37" s="39">
        <f t="shared" si="8"/>
        <v>14.68690702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6" t="s">
        <v>743</v>
      </c>
      <c r="B38" s="36" t="s">
        <v>743</v>
      </c>
      <c r="C38" s="37">
        <v>2659.0</v>
      </c>
      <c r="D38" s="38">
        <f t="shared" si="1"/>
        <v>684</v>
      </c>
      <c r="E38" s="39">
        <f t="shared" si="2"/>
        <v>25.72395637</v>
      </c>
      <c r="F38" s="37">
        <v>381.0</v>
      </c>
      <c r="G38" s="39">
        <f t="shared" si="3"/>
        <v>14.328695</v>
      </c>
      <c r="H38" s="37">
        <v>303.0</v>
      </c>
      <c r="I38" s="39">
        <f t="shared" si="4"/>
        <v>11.39526138</v>
      </c>
      <c r="J38" s="38">
        <f t="shared" si="5"/>
        <v>1135</v>
      </c>
      <c r="K38" s="39">
        <f t="shared" si="6"/>
        <v>42.68522001</v>
      </c>
      <c r="L38" s="37">
        <v>832.0</v>
      </c>
      <c r="M38" s="39">
        <f t="shared" si="7"/>
        <v>31.28995863</v>
      </c>
      <c r="N38" s="37">
        <v>1143.0</v>
      </c>
      <c r="O38" s="39">
        <f t="shared" si="8"/>
        <v>42.98608499</v>
      </c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6" t="s">
        <v>744</v>
      </c>
      <c r="B39" s="36" t="s">
        <v>744</v>
      </c>
      <c r="C39" s="37">
        <v>2199.0</v>
      </c>
      <c r="D39" s="38">
        <f t="shared" si="1"/>
        <v>661</v>
      </c>
      <c r="E39" s="39">
        <f t="shared" si="2"/>
        <v>30.05911778</v>
      </c>
      <c r="F39" s="37">
        <v>392.0</v>
      </c>
      <c r="G39" s="39">
        <f t="shared" si="3"/>
        <v>17.82628467</v>
      </c>
      <c r="H39" s="37">
        <v>269.0</v>
      </c>
      <c r="I39" s="39">
        <f t="shared" si="4"/>
        <v>12.23283311</v>
      </c>
      <c r="J39" s="38">
        <f t="shared" si="5"/>
        <v>880</v>
      </c>
      <c r="K39" s="39">
        <f t="shared" si="6"/>
        <v>40.01819009</v>
      </c>
      <c r="L39" s="37">
        <v>611.0</v>
      </c>
      <c r="M39" s="39">
        <f t="shared" si="7"/>
        <v>27.78535698</v>
      </c>
      <c r="N39" s="37">
        <v>927.0</v>
      </c>
      <c r="O39" s="39">
        <f t="shared" si="8"/>
        <v>42.15552524</v>
      </c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6" t="s">
        <v>745</v>
      </c>
      <c r="B40" s="36" t="s">
        <v>745</v>
      </c>
      <c r="C40" s="37">
        <v>1880.0</v>
      </c>
      <c r="D40" s="38">
        <f t="shared" si="1"/>
        <v>640</v>
      </c>
      <c r="E40" s="39">
        <f t="shared" si="2"/>
        <v>34.04255319</v>
      </c>
      <c r="F40" s="37">
        <v>640.0</v>
      </c>
      <c r="G40" s="39">
        <f t="shared" si="3"/>
        <v>34.04255319</v>
      </c>
      <c r="H40" s="37">
        <v>0.0</v>
      </c>
      <c r="I40" s="39">
        <f t="shared" si="4"/>
        <v>0</v>
      </c>
      <c r="J40" s="38">
        <f t="shared" si="5"/>
        <v>0</v>
      </c>
      <c r="K40" s="39">
        <f t="shared" si="6"/>
        <v>0</v>
      </c>
      <c r="L40" s="37">
        <v>0.0</v>
      </c>
      <c r="M40" s="39">
        <f t="shared" si="7"/>
        <v>0</v>
      </c>
      <c r="N40" s="37">
        <v>1240.0</v>
      </c>
      <c r="O40" s="39">
        <f t="shared" si="8"/>
        <v>65.95744681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6" t="s">
        <v>746</v>
      </c>
      <c r="B41" s="36" t="s">
        <v>746</v>
      </c>
      <c r="C41" s="37">
        <v>3730.0</v>
      </c>
      <c r="D41" s="38">
        <f t="shared" si="1"/>
        <v>629</v>
      </c>
      <c r="E41" s="39">
        <f t="shared" si="2"/>
        <v>16.86327078</v>
      </c>
      <c r="F41" s="37">
        <v>507.0</v>
      </c>
      <c r="G41" s="39">
        <f t="shared" si="3"/>
        <v>13.5924933</v>
      </c>
      <c r="H41" s="37">
        <v>122.0</v>
      </c>
      <c r="I41" s="39">
        <f t="shared" si="4"/>
        <v>3.27077748</v>
      </c>
      <c r="J41" s="38">
        <f t="shared" si="5"/>
        <v>1121</v>
      </c>
      <c r="K41" s="39">
        <f t="shared" si="6"/>
        <v>30.0536193</v>
      </c>
      <c r="L41" s="37">
        <v>999.0</v>
      </c>
      <c r="M41" s="39">
        <f t="shared" si="7"/>
        <v>26.78284182</v>
      </c>
      <c r="N41" s="37">
        <v>2102.0</v>
      </c>
      <c r="O41" s="39">
        <f t="shared" si="8"/>
        <v>56.3538874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6" t="s">
        <v>747</v>
      </c>
      <c r="B42" s="36" t="s">
        <v>747</v>
      </c>
      <c r="C42" s="37">
        <v>1730.0</v>
      </c>
      <c r="D42" s="38">
        <f t="shared" si="1"/>
        <v>543</v>
      </c>
      <c r="E42" s="39">
        <f t="shared" si="2"/>
        <v>31.38728324</v>
      </c>
      <c r="F42" s="37">
        <v>543.0</v>
      </c>
      <c r="G42" s="39">
        <f t="shared" si="3"/>
        <v>31.38728324</v>
      </c>
      <c r="H42" s="37">
        <v>0.0</v>
      </c>
      <c r="I42" s="39">
        <f t="shared" si="4"/>
        <v>0</v>
      </c>
      <c r="J42" s="38">
        <f t="shared" si="5"/>
        <v>0</v>
      </c>
      <c r="K42" s="39">
        <f t="shared" si="6"/>
        <v>0</v>
      </c>
      <c r="L42" s="37">
        <v>0.0</v>
      </c>
      <c r="M42" s="39">
        <f t="shared" si="7"/>
        <v>0</v>
      </c>
      <c r="N42" s="37">
        <v>1187.0</v>
      </c>
      <c r="O42" s="39">
        <f t="shared" si="8"/>
        <v>68.61271676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6" t="s">
        <v>748</v>
      </c>
      <c r="B43" s="36" t="s">
        <v>748</v>
      </c>
      <c r="C43" s="37">
        <v>6622.0</v>
      </c>
      <c r="D43" s="38">
        <f t="shared" si="1"/>
        <v>517</v>
      </c>
      <c r="E43" s="39">
        <f t="shared" si="2"/>
        <v>7.80730897</v>
      </c>
      <c r="F43" s="37">
        <v>146.0</v>
      </c>
      <c r="G43" s="39">
        <f t="shared" si="3"/>
        <v>2.204771972</v>
      </c>
      <c r="H43" s="37">
        <v>371.0</v>
      </c>
      <c r="I43" s="39">
        <f t="shared" si="4"/>
        <v>5.602536998</v>
      </c>
      <c r="J43" s="38">
        <f t="shared" si="5"/>
        <v>3512</v>
      </c>
      <c r="K43" s="39">
        <f t="shared" si="6"/>
        <v>53.03533676</v>
      </c>
      <c r="L43" s="37">
        <v>3141.0</v>
      </c>
      <c r="M43" s="39">
        <f t="shared" si="7"/>
        <v>47.43279976</v>
      </c>
      <c r="N43" s="37">
        <v>2964.0</v>
      </c>
      <c r="O43" s="39">
        <f t="shared" si="8"/>
        <v>44.75989127</v>
      </c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6" t="s">
        <v>749</v>
      </c>
      <c r="B44" s="36" t="s">
        <v>749</v>
      </c>
      <c r="C44" s="37">
        <v>1862.0</v>
      </c>
      <c r="D44" s="38">
        <f t="shared" si="1"/>
        <v>516</v>
      </c>
      <c r="E44" s="39">
        <f t="shared" si="2"/>
        <v>27.71213749</v>
      </c>
      <c r="F44" s="37">
        <v>516.0</v>
      </c>
      <c r="G44" s="39">
        <f t="shared" si="3"/>
        <v>27.71213749</v>
      </c>
      <c r="H44" s="37">
        <v>0.0</v>
      </c>
      <c r="I44" s="39">
        <f t="shared" si="4"/>
        <v>0</v>
      </c>
      <c r="J44" s="38">
        <f t="shared" si="5"/>
        <v>0</v>
      </c>
      <c r="K44" s="39">
        <f t="shared" si="6"/>
        <v>0</v>
      </c>
      <c r="L44" s="37">
        <v>0.0</v>
      </c>
      <c r="M44" s="39">
        <f t="shared" si="7"/>
        <v>0</v>
      </c>
      <c r="N44" s="37">
        <v>1346.0</v>
      </c>
      <c r="O44" s="39">
        <f t="shared" si="8"/>
        <v>72.28786251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6" t="s">
        <v>750</v>
      </c>
      <c r="B45" s="36" t="s">
        <v>750</v>
      </c>
      <c r="C45" s="37">
        <v>1526.0</v>
      </c>
      <c r="D45" s="38">
        <f t="shared" si="1"/>
        <v>489</v>
      </c>
      <c r="E45" s="39">
        <f t="shared" si="2"/>
        <v>32.04456094</v>
      </c>
      <c r="F45" s="37">
        <v>365.0</v>
      </c>
      <c r="G45" s="39">
        <f t="shared" si="3"/>
        <v>23.91874181</v>
      </c>
      <c r="H45" s="37">
        <v>124.0</v>
      </c>
      <c r="I45" s="39">
        <f t="shared" si="4"/>
        <v>8.125819135</v>
      </c>
      <c r="J45" s="38">
        <f t="shared" si="5"/>
        <v>366</v>
      </c>
      <c r="K45" s="39">
        <f t="shared" si="6"/>
        <v>23.98427261</v>
      </c>
      <c r="L45" s="37">
        <v>242.0</v>
      </c>
      <c r="M45" s="39">
        <f t="shared" si="7"/>
        <v>15.85845347</v>
      </c>
      <c r="N45" s="37">
        <v>795.0</v>
      </c>
      <c r="O45" s="39">
        <f t="shared" si="8"/>
        <v>52.09698558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6" t="s">
        <v>751</v>
      </c>
      <c r="B46" s="36" t="s">
        <v>751</v>
      </c>
      <c r="C46" s="37">
        <v>1751.0</v>
      </c>
      <c r="D46" s="38">
        <f t="shared" si="1"/>
        <v>437</v>
      </c>
      <c r="E46" s="39">
        <f t="shared" si="2"/>
        <v>24.95716733</v>
      </c>
      <c r="F46" s="37">
        <v>56.0</v>
      </c>
      <c r="G46" s="39">
        <f t="shared" si="3"/>
        <v>3.198172473</v>
      </c>
      <c r="H46" s="37">
        <v>381.0</v>
      </c>
      <c r="I46" s="39">
        <f t="shared" si="4"/>
        <v>21.75899486</v>
      </c>
      <c r="J46" s="38">
        <f t="shared" si="5"/>
        <v>1514</v>
      </c>
      <c r="K46" s="39">
        <f t="shared" si="6"/>
        <v>86.46487721</v>
      </c>
      <c r="L46" s="37">
        <v>1133.0</v>
      </c>
      <c r="M46" s="39">
        <f t="shared" si="7"/>
        <v>64.70588235</v>
      </c>
      <c r="N46" s="37">
        <v>181.0</v>
      </c>
      <c r="O46" s="39">
        <f t="shared" si="8"/>
        <v>10.33695031</v>
      </c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6" t="s">
        <v>752</v>
      </c>
      <c r="B47" s="36" t="s">
        <v>752</v>
      </c>
      <c r="C47" s="37">
        <v>1552.0</v>
      </c>
      <c r="D47" s="38">
        <f t="shared" si="1"/>
        <v>420</v>
      </c>
      <c r="E47" s="39">
        <f t="shared" si="2"/>
        <v>27.06185567</v>
      </c>
      <c r="F47" s="37">
        <v>415.0</v>
      </c>
      <c r="G47" s="39">
        <f t="shared" si="3"/>
        <v>26.73969072</v>
      </c>
      <c r="H47" s="37">
        <v>5.0</v>
      </c>
      <c r="I47" s="39">
        <f t="shared" si="4"/>
        <v>0.3221649485</v>
      </c>
      <c r="J47" s="38">
        <f t="shared" si="5"/>
        <v>27</v>
      </c>
      <c r="K47" s="39">
        <f t="shared" si="6"/>
        <v>1.739690722</v>
      </c>
      <c r="L47" s="37">
        <v>22.0</v>
      </c>
      <c r="M47" s="39">
        <f t="shared" si="7"/>
        <v>1.417525773</v>
      </c>
      <c r="N47" s="37">
        <v>1110.0</v>
      </c>
      <c r="O47" s="39">
        <f t="shared" si="8"/>
        <v>71.52061856</v>
      </c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6" t="s">
        <v>753</v>
      </c>
      <c r="B48" s="36" t="s">
        <v>753</v>
      </c>
      <c r="C48" s="37">
        <v>963.0</v>
      </c>
      <c r="D48" s="38">
        <f t="shared" si="1"/>
        <v>417</v>
      </c>
      <c r="E48" s="39">
        <f t="shared" si="2"/>
        <v>43.30218069</v>
      </c>
      <c r="F48" s="37">
        <v>417.0</v>
      </c>
      <c r="G48" s="39">
        <f t="shared" si="3"/>
        <v>43.30218069</v>
      </c>
      <c r="H48" s="37">
        <v>0.0</v>
      </c>
      <c r="I48" s="39">
        <f t="shared" si="4"/>
        <v>0</v>
      </c>
      <c r="J48" s="38">
        <f t="shared" si="5"/>
        <v>0</v>
      </c>
      <c r="K48" s="39">
        <f t="shared" si="6"/>
        <v>0</v>
      </c>
      <c r="L48" s="37">
        <v>0.0</v>
      </c>
      <c r="M48" s="39">
        <f t="shared" si="7"/>
        <v>0</v>
      </c>
      <c r="N48" s="37">
        <v>546.0</v>
      </c>
      <c r="O48" s="39">
        <f t="shared" si="8"/>
        <v>56.69781931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6" t="s">
        <v>712</v>
      </c>
      <c r="B49" s="36" t="s">
        <v>754</v>
      </c>
      <c r="C49" s="37">
        <v>583.0</v>
      </c>
      <c r="D49" s="38">
        <f t="shared" si="1"/>
        <v>350</v>
      </c>
      <c r="E49" s="39">
        <f t="shared" si="2"/>
        <v>60.03430532</v>
      </c>
      <c r="F49" s="37">
        <v>0.0</v>
      </c>
      <c r="G49" s="39">
        <f t="shared" si="3"/>
        <v>0</v>
      </c>
      <c r="H49" s="37">
        <v>350.0</v>
      </c>
      <c r="I49" s="39">
        <f t="shared" si="4"/>
        <v>60.03430532</v>
      </c>
      <c r="J49" s="38">
        <f t="shared" si="5"/>
        <v>576</v>
      </c>
      <c r="K49" s="39">
        <f t="shared" si="6"/>
        <v>98.79931389</v>
      </c>
      <c r="L49" s="37">
        <v>226.0</v>
      </c>
      <c r="M49" s="39">
        <f t="shared" si="7"/>
        <v>38.76500858</v>
      </c>
      <c r="N49" s="37">
        <v>7.0</v>
      </c>
      <c r="O49" s="39">
        <f t="shared" si="8"/>
        <v>1.200686106</v>
      </c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6" t="s">
        <v>755</v>
      </c>
      <c r="B50" s="36" t="s">
        <v>755</v>
      </c>
      <c r="C50" s="37">
        <v>716.0</v>
      </c>
      <c r="D50" s="38">
        <f t="shared" si="1"/>
        <v>319</v>
      </c>
      <c r="E50" s="39">
        <f t="shared" si="2"/>
        <v>44.55307263</v>
      </c>
      <c r="F50" s="37">
        <v>319.0</v>
      </c>
      <c r="G50" s="39">
        <f t="shared" si="3"/>
        <v>44.55307263</v>
      </c>
      <c r="H50" s="37">
        <v>0.0</v>
      </c>
      <c r="I50" s="39">
        <f t="shared" si="4"/>
        <v>0</v>
      </c>
      <c r="J50" s="38">
        <f t="shared" si="5"/>
        <v>0</v>
      </c>
      <c r="K50" s="39">
        <f t="shared" si="6"/>
        <v>0</v>
      </c>
      <c r="L50" s="37">
        <v>0.0</v>
      </c>
      <c r="M50" s="39">
        <f t="shared" si="7"/>
        <v>0</v>
      </c>
      <c r="N50" s="37">
        <v>397.0</v>
      </c>
      <c r="O50" s="39">
        <f t="shared" si="8"/>
        <v>55.44692737</v>
      </c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6" t="s">
        <v>756</v>
      </c>
      <c r="B51" s="36" t="s">
        <v>756</v>
      </c>
      <c r="C51" s="37">
        <v>1165.0</v>
      </c>
      <c r="D51" s="38">
        <f t="shared" si="1"/>
        <v>316</v>
      </c>
      <c r="E51" s="39">
        <f t="shared" si="2"/>
        <v>27.12446352</v>
      </c>
      <c r="F51" s="37">
        <v>316.0</v>
      </c>
      <c r="G51" s="39">
        <f t="shared" si="3"/>
        <v>27.12446352</v>
      </c>
      <c r="H51" s="37">
        <v>0.0</v>
      </c>
      <c r="I51" s="39">
        <f t="shared" si="4"/>
        <v>0</v>
      </c>
      <c r="J51" s="38">
        <f t="shared" si="5"/>
        <v>0</v>
      </c>
      <c r="K51" s="39">
        <f t="shared" si="6"/>
        <v>0</v>
      </c>
      <c r="L51" s="37">
        <v>0.0</v>
      </c>
      <c r="M51" s="39">
        <f t="shared" si="7"/>
        <v>0</v>
      </c>
      <c r="N51" s="37">
        <v>849.0</v>
      </c>
      <c r="O51" s="39">
        <f t="shared" si="8"/>
        <v>72.87553648</v>
      </c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6" t="s">
        <v>757</v>
      </c>
      <c r="B52" s="36" t="s">
        <v>757</v>
      </c>
      <c r="C52" s="37">
        <v>998.0</v>
      </c>
      <c r="D52" s="38">
        <f t="shared" si="1"/>
        <v>299</v>
      </c>
      <c r="E52" s="39">
        <f t="shared" si="2"/>
        <v>29.95991984</v>
      </c>
      <c r="F52" s="37">
        <v>25.0</v>
      </c>
      <c r="G52" s="39">
        <f t="shared" si="3"/>
        <v>2.50501002</v>
      </c>
      <c r="H52" s="37">
        <v>274.0</v>
      </c>
      <c r="I52" s="39">
        <f t="shared" si="4"/>
        <v>27.45490982</v>
      </c>
      <c r="J52" s="38">
        <f t="shared" si="5"/>
        <v>759</v>
      </c>
      <c r="K52" s="39">
        <f t="shared" si="6"/>
        <v>76.05210421</v>
      </c>
      <c r="L52" s="37">
        <v>485.0</v>
      </c>
      <c r="M52" s="39">
        <f t="shared" si="7"/>
        <v>48.59719439</v>
      </c>
      <c r="N52" s="37">
        <v>214.0</v>
      </c>
      <c r="O52" s="39">
        <f t="shared" si="8"/>
        <v>21.44288577</v>
      </c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6" t="s">
        <v>758</v>
      </c>
      <c r="B53" s="36" t="s">
        <v>758</v>
      </c>
      <c r="C53" s="37">
        <v>405.0</v>
      </c>
      <c r="D53" s="38">
        <f t="shared" si="1"/>
        <v>271</v>
      </c>
      <c r="E53" s="39">
        <f t="shared" si="2"/>
        <v>66.91358025</v>
      </c>
      <c r="F53" s="37">
        <v>7.0</v>
      </c>
      <c r="G53" s="39">
        <f t="shared" si="3"/>
        <v>1.728395062</v>
      </c>
      <c r="H53" s="37">
        <v>264.0</v>
      </c>
      <c r="I53" s="39">
        <f t="shared" si="4"/>
        <v>65.18518519</v>
      </c>
      <c r="J53" s="38">
        <f t="shared" si="5"/>
        <v>393</v>
      </c>
      <c r="K53" s="39">
        <f t="shared" si="6"/>
        <v>97.03703704</v>
      </c>
      <c r="L53" s="37">
        <v>129.0</v>
      </c>
      <c r="M53" s="39">
        <f t="shared" si="7"/>
        <v>31.85185185</v>
      </c>
      <c r="N53" s="37">
        <v>5.0</v>
      </c>
      <c r="O53" s="39">
        <f t="shared" si="8"/>
        <v>1.234567901</v>
      </c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6" t="s">
        <v>759</v>
      </c>
      <c r="B54" s="36" t="s">
        <v>759</v>
      </c>
      <c r="C54" s="37">
        <v>2699.0</v>
      </c>
      <c r="D54" s="38">
        <f t="shared" si="1"/>
        <v>261</v>
      </c>
      <c r="E54" s="39">
        <f t="shared" si="2"/>
        <v>9.67024824</v>
      </c>
      <c r="F54" s="37">
        <v>261.0</v>
      </c>
      <c r="G54" s="39">
        <f t="shared" si="3"/>
        <v>9.67024824</v>
      </c>
      <c r="H54" s="37">
        <v>0.0</v>
      </c>
      <c r="I54" s="39">
        <f t="shared" si="4"/>
        <v>0</v>
      </c>
      <c r="J54" s="38">
        <f t="shared" si="5"/>
        <v>0</v>
      </c>
      <c r="K54" s="39">
        <f t="shared" si="6"/>
        <v>0</v>
      </c>
      <c r="L54" s="37">
        <v>0.0</v>
      </c>
      <c r="M54" s="39">
        <f t="shared" si="7"/>
        <v>0</v>
      </c>
      <c r="N54" s="37">
        <v>2438.0</v>
      </c>
      <c r="O54" s="39">
        <f t="shared" si="8"/>
        <v>90.32975176</v>
      </c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6" t="s">
        <v>760</v>
      </c>
      <c r="B55" s="36" t="s">
        <v>760</v>
      </c>
      <c r="C55" s="37">
        <v>1020.0</v>
      </c>
      <c r="D55" s="38">
        <f t="shared" si="1"/>
        <v>232</v>
      </c>
      <c r="E55" s="39">
        <f t="shared" si="2"/>
        <v>22.74509804</v>
      </c>
      <c r="F55" s="37">
        <v>3.0</v>
      </c>
      <c r="G55" s="39">
        <f t="shared" si="3"/>
        <v>0.2941176471</v>
      </c>
      <c r="H55" s="37">
        <v>229.0</v>
      </c>
      <c r="I55" s="39">
        <f t="shared" si="4"/>
        <v>22.45098039</v>
      </c>
      <c r="J55" s="38">
        <f t="shared" si="5"/>
        <v>1000</v>
      </c>
      <c r="K55" s="39">
        <f t="shared" si="6"/>
        <v>98.03921569</v>
      </c>
      <c r="L55" s="37">
        <v>771.0</v>
      </c>
      <c r="M55" s="39">
        <f t="shared" si="7"/>
        <v>75.58823529</v>
      </c>
      <c r="N55" s="37">
        <v>17.0</v>
      </c>
      <c r="O55" s="39">
        <f t="shared" si="8"/>
        <v>1.666666667</v>
      </c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6" t="s">
        <v>737</v>
      </c>
      <c r="B56" s="36" t="s">
        <v>761</v>
      </c>
      <c r="C56" s="37">
        <v>1301.0</v>
      </c>
      <c r="D56" s="38">
        <f t="shared" si="1"/>
        <v>231</v>
      </c>
      <c r="E56" s="39">
        <f t="shared" si="2"/>
        <v>17.75557264</v>
      </c>
      <c r="F56" s="37">
        <v>5.0</v>
      </c>
      <c r="G56" s="39">
        <f t="shared" si="3"/>
        <v>0.384319754</v>
      </c>
      <c r="H56" s="37">
        <v>226.0</v>
      </c>
      <c r="I56" s="39">
        <f t="shared" si="4"/>
        <v>17.37125288</v>
      </c>
      <c r="J56" s="38">
        <f t="shared" si="5"/>
        <v>1272</v>
      </c>
      <c r="K56" s="39">
        <f t="shared" si="6"/>
        <v>97.77094543</v>
      </c>
      <c r="L56" s="37">
        <v>1046.0</v>
      </c>
      <c r="M56" s="39">
        <f t="shared" si="7"/>
        <v>80.39969254</v>
      </c>
      <c r="N56" s="37">
        <v>24.0</v>
      </c>
      <c r="O56" s="39">
        <f t="shared" si="8"/>
        <v>1.844734819</v>
      </c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6" t="s">
        <v>762</v>
      </c>
      <c r="B57" s="36" t="s">
        <v>762</v>
      </c>
      <c r="C57" s="37">
        <v>781.0</v>
      </c>
      <c r="D57" s="38">
        <f t="shared" si="1"/>
        <v>211</v>
      </c>
      <c r="E57" s="39">
        <f t="shared" si="2"/>
        <v>27.01664533</v>
      </c>
      <c r="F57" s="37">
        <v>211.0</v>
      </c>
      <c r="G57" s="39">
        <f t="shared" si="3"/>
        <v>27.01664533</v>
      </c>
      <c r="H57" s="37">
        <v>0.0</v>
      </c>
      <c r="I57" s="39">
        <f t="shared" si="4"/>
        <v>0</v>
      </c>
      <c r="J57" s="38">
        <f t="shared" si="5"/>
        <v>0</v>
      </c>
      <c r="K57" s="39">
        <f t="shared" si="6"/>
        <v>0</v>
      </c>
      <c r="L57" s="37">
        <v>0.0</v>
      </c>
      <c r="M57" s="39">
        <f t="shared" si="7"/>
        <v>0</v>
      </c>
      <c r="N57" s="37">
        <v>570.0</v>
      </c>
      <c r="O57" s="39">
        <f t="shared" si="8"/>
        <v>72.98335467</v>
      </c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6" t="s">
        <v>763</v>
      </c>
      <c r="B58" s="36" t="s">
        <v>764</v>
      </c>
      <c r="C58" s="37">
        <v>682.0</v>
      </c>
      <c r="D58" s="38">
        <f t="shared" si="1"/>
        <v>205</v>
      </c>
      <c r="E58" s="39">
        <f t="shared" si="2"/>
        <v>30.05865103</v>
      </c>
      <c r="F58" s="37">
        <v>205.0</v>
      </c>
      <c r="G58" s="39">
        <f t="shared" si="3"/>
        <v>30.05865103</v>
      </c>
      <c r="H58" s="37">
        <v>0.0</v>
      </c>
      <c r="I58" s="39">
        <f t="shared" si="4"/>
        <v>0</v>
      </c>
      <c r="J58" s="38">
        <f t="shared" si="5"/>
        <v>0</v>
      </c>
      <c r="K58" s="39">
        <f t="shared" si="6"/>
        <v>0</v>
      </c>
      <c r="L58" s="37">
        <v>0.0</v>
      </c>
      <c r="M58" s="39">
        <f t="shared" si="7"/>
        <v>0</v>
      </c>
      <c r="N58" s="37">
        <v>477.0</v>
      </c>
      <c r="O58" s="39">
        <f t="shared" si="8"/>
        <v>69.94134897</v>
      </c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6" t="s">
        <v>765</v>
      </c>
      <c r="B59" s="36" t="s">
        <v>765</v>
      </c>
      <c r="C59" s="37">
        <v>520.0</v>
      </c>
      <c r="D59" s="38">
        <f t="shared" si="1"/>
        <v>197</v>
      </c>
      <c r="E59" s="39">
        <f t="shared" si="2"/>
        <v>37.88461538</v>
      </c>
      <c r="F59" s="37">
        <v>197.0</v>
      </c>
      <c r="G59" s="39">
        <f t="shared" si="3"/>
        <v>37.88461538</v>
      </c>
      <c r="H59" s="37">
        <v>0.0</v>
      </c>
      <c r="I59" s="39">
        <f t="shared" si="4"/>
        <v>0</v>
      </c>
      <c r="J59" s="38">
        <f t="shared" si="5"/>
        <v>0</v>
      </c>
      <c r="K59" s="39">
        <f t="shared" si="6"/>
        <v>0</v>
      </c>
      <c r="L59" s="37">
        <v>0.0</v>
      </c>
      <c r="M59" s="39">
        <f t="shared" si="7"/>
        <v>0</v>
      </c>
      <c r="N59" s="37">
        <v>323.0</v>
      </c>
      <c r="O59" s="39">
        <f t="shared" si="8"/>
        <v>62.11538462</v>
      </c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6" t="s">
        <v>766</v>
      </c>
      <c r="B60" s="36" t="s">
        <v>767</v>
      </c>
      <c r="C60" s="37">
        <v>673.0</v>
      </c>
      <c r="D60" s="38">
        <f t="shared" si="1"/>
        <v>172</v>
      </c>
      <c r="E60" s="39">
        <f t="shared" si="2"/>
        <v>25.55720654</v>
      </c>
      <c r="F60" s="37">
        <v>172.0</v>
      </c>
      <c r="G60" s="39">
        <f t="shared" si="3"/>
        <v>25.55720654</v>
      </c>
      <c r="H60" s="37">
        <v>0.0</v>
      </c>
      <c r="I60" s="39">
        <f t="shared" si="4"/>
        <v>0</v>
      </c>
      <c r="J60" s="38">
        <f t="shared" si="5"/>
        <v>0</v>
      </c>
      <c r="K60" s="39">
        <f t="shared" si="6"/>
        <v>0</v>
      </c>
      <c r="L60" s="37">
        <v>0.0</v>
      </c>
      <c r="M60" s="39">
        <f t="shared" si="7"/>
        <v>0</v>
      </c>
      <c r="N60" s="37">
        <v>501.0</v>
      </c>
      <c r="O60" s="39">
        <f t="shared" si="8"/>
        <v>74.44279346</v>
      </c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6" t="s">
        <v>768</v>
      </c>
      <c r="B61" s="36" t="s">
        <v>768</v>
      </c>
      <c r="C61" s="37">
        <v>366.0</v>
      </c>
      <c r="D61" s="38">
        <f t="shared" si="1"/>
        <v>169</v>
      </c>
      <c r="E61" s="39">
        <f t="shared" si="2"/>
        <v>46.17486339</v>
      </c>
      <c r="F61" s="37">
        <v>169.0</v>
      </c>
      <c r="G61" s="39">
        <f t="shared" si="3"/>
        <v>46.17486339</v>
      </c>
      <c r="H61" s="37">
        <v>0.0</v>
      </c>
      <c r="I61" s="39">
        <f t="shared" si="4"/>
        <v>0</v>
      </c>
      <c r="J61" s="38">
        <f t="shared" si="5"/>
        <v>0</v>
      </c>
      <c r="K61" s="39">
        <f t="shared" si="6"/>
        <v>0</v>
      </c>
      <c r="L61" s="37">
        <v>0.0</v>
      </c>
      <c r="M61" s="39">
        <f t="shared" si="7"/>
        <v>0</v>
      </c>
      <c r="N61" s="37">
        <v>197.0</v>
      </c>
      <c r="O61" s="39">
        <f t="shared" si="8"/>
        <v>53.82513661</v>
      </c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6" t="s">
        <v>712</v>
      </c>
      <c r="B62" s="36" t="s">
        <v>769</v>
      </c>
      <c r="C62" s="37">
        <v>503.0</v>
      </c>
      <c r="D62" s="38">
        <f t="shared" si="1"/>
        <v>143</v>
      </c>
      <c r="E62" s="39">
        <f t="shared" si="2"/>
        <v>28.42942346</v>
      </c>
      <c r="F62" s="37">
        <v>143.0</v>
      </c>
      <c r="G62" s="39">
        <f t="shared" si="3"/>
        <v>28.42942346</v>
      </c>
      <c r="H62" s="37">
        <v>0.0</v>
      </c>
      <c r="I62" s="39">
        <f t="shared" si="4"/>
        <v>0</v>
      </c>
      <c r="J62" s="38">
        <f t="shared" si="5"/>
        <v>0</v>
      </c>
      <c r="K62" s="39">
        <f t="shared" si="6"/>
        <v>0</v>
      </c>
      <c r="L62" s="37">
        <v>0.0</v>
      </c>
      <c r="M62" s="39">
        <f t="shared" si="7"/>
        <v>0</v>
      </c>
      <c r="N62" s="37">
        <v>360.0</v>
      </c>
      <c r="O62" s="39">
        <f t="shared" si="8"/>
        <v>71.57057654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6" t="s">
        <v>747</v>
      </c>
      <c r="B63" s="36" t="s">
        <v>770</v>
      </c>
      <c r="C63" s="37">
        <v>242.0</v>
      </c>
      <c r="D63" s="38">
        <f t="shared" si="1"/>
        <v>130</v>
      </c>
      <c r="E63" s="39">
        <f t="shared" si="2"/>
        <v>53.71900826</v>
      </c>
      <c r="F63" s="37">
        <v>130.0</v>
      </c>
      <c r="G63" s="39">
        <f t="shared" si="3"/>
        <v>53.71900826</v>
      </c>
      <c r="H63" s="37">
        <v>0.0</v>
      </c>
      <c r="I63" s="39">
        <f t="shared" si="4"/>
        <v>0</v>
      </c>
      <c r="J63" s="38">
        <f t="shared" si="5"/>
        <v>0</v>
      </c>
      <c r="K63" s="39">
        <f t="shared" si="6"/>
        <v>0</v>
      </c>
      <c r="L63" s="37">
        <v>0.0</v>
      </c>
      <c r="M63" s="39">
        <f t="shared" si="7"/>
        <v>0</v>
      </c>
      <c r="N63" s="37">
        <v>112.0</v>
      </c>
      <c r="O63" s="39">
        <f t="shared" si="8"/>
        <v>46.28099174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6" t="s">
        <v>747</v>
      </c>
      <c r="B64" s="36" t="s">
        <v>771</v>
      </c>
      <c r="C64" s="37">
        <v>298.0</v>
      </c>
      <c r="D64" s="38">
        <f t="shared" si="1"/>
        <v>125</v>
      </c>
      <c r="E64" s="39">
        <f t="shared" si="2"/>
        <v>41.94630872</v>
      </c>
      <c r="F64" s="37">
        <v>125.0</v>
      </c>
      <c r="G64" s="39">
        <f t="shared" si="3"/>
        <v>41.94630872</v>
      </c>
      <c r="H64" s="37">
        <v>0.0</v>
      </c>
      <c r="I64" s="39">
        <f t="shared" si="4"/>
        <v>0</v>
      </c>
      <c r="J64" s="38">
        <f t="shared" si="5"/>
        <v>0</v>
      </c>
      <c r="K64" s="39">
        <f t="shared" si="6"/>
        <v>0</v>
      </c>
      <c r="L64" s="37">
        <v>0.0</v>
      </c>
      <c r="M64" s="39">
        <f t="shared" si="7"/>
        <v>0</v>
      </c>
      <c r="N64" s="37">
        <v>173.0</v>
      </c>
      <c r="O64" s="39">
        <f t="shared" si="8"/>
        <v>58.05369128</v>
      </c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6" t="s">
        <v>772</v>
      </c>
      <c r="B65" s="36" t="s">
        <v>772</v>
      </c>
      <c r="C65" s="37">
        <v>492.0</v>
      </c>
      <c r="D65" s="38">
        <f t="shared" si="1"/>
        <v>104</v>
      </c>
      <c r="E65" s="39">
        <f t="shared" si="2"/>
        <v>21.13821138</v>
      </c>
      <c r="F65" s="37">
        <v>4.0</v>
      </c>
      <c r="G65" s="39">
        <f t="shared" si="3"/>
        <v>0.8130081301</v>
      </c>
      <c r="H65" s="37">
        <v>100.0</v>
      </c>
      <c r="I65" s="39">
        <f t="shared" si="4"/>
        <v>20.32520325</v>
      </c>
      <c r="J65" s="38">
        <f t="shared" si="5"/>
        <v>434</v>
      </c>
      <c r="K65" s="39">
        <f t="shared" si="6"/>
        <v>88.21138211</v>
      </c>
      <c r="L65" s="37">
        <v>334.0</v>
      </c>
      <c r="M65" s="39">
        <f t="shared" si="7"/>
        <v>67.88617886</v>
      </c>
      <c r="N65" s="37">
        <v>54.0</v>
      </c>
      <c r="O65" s="39">
        <f t="shared" si="8"/>
        <v>10.97560976</v>
      </c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6" t="s">
        <v>773</v>
      </c>
      <c r="B66" s="36" t="s">
        <v>773</v>
      </c>
      <c r="C66" s="37">
        <v>231.0</v>
      </c>
      <c r="D66" s="38">
        <f t="shared" si="1"/>
        <v>98</v>
      </c>
      <c r="E66" s="39">
        <f t="shared" si="2"/>
        <v>42.42424242</v>
      </c>
      <c r="F66" s="37">
        <v>13.0</v>
      </c>
      <c r="G66" s="39">
        <f t="shared" si="3"/>
        <v>5.627705628</v>
      </c>
      <c r="H66" s="37">
        <v>85.0</v>
      </c>
      <c r="I66" s="39">
        <f t="shared" si="4"/>
        <v>36.7965368</v>
      </c>
      <c r="J66" s="38">
        <f t="shared" si="5"/>
        <v>210</v>
      </c>
      <c r="K66" s="39">
        <f t="shared" si="6"/>
        <v>90.90909091</v>
      </c>
      <c r="L66" s="37">
        <v>125.0</v>
      </c>
      <c r="M66" s="39">
        <f t="shared" si="7"/>
        <v>54.11255411</v>
      </c>
      <c r="N66" s="37">
        <v>8.0</v>
      </c>
      <c r="O66" s="39">
        <f t="shared" si="8"/>
        <v>3.463203463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6" t="s">
        <v>717</v>
      </c>
      <c r="B67" s="36" t="s">
        <v>717</v>
      </c>
      <c r="C67" s="37">
        <v>920.0</v>
      </c>
      <c r="D67" s="38">
        <f t="shared" si="1"/>
        <v>89</v>
      </c>
      <c r="E67" s="39">
        <f t="shared" si="2"/>
        <v>9.673913043</v>
      </c>
      <c r="F67" s="37">
        <v>89.0</v>
      </c>
      <c r="G67" s="39">
        <f t="shared" si="3"/>
        <v>9.673913043</v>
      </c>
      <c r="H67" s="37">
        <v>0.0</v>
      </c>
      <c r="I67" s="39">
        <f t="shared" si="4"/>
        <v>0</v>
      </c>
      <c r="J67" s="38">
        <f t="shared" si="5"/>
        <v>0</v>
      </c>
      <c r="K67" s="39">
        <f t="shared" si="6"/>
        <v>0</v>
      </c>
      <c r="L67" s="37">
        <v>0.0</v>
      </c>
      <c r="M67" s="39">
        <f t="shared" si="7"/>
        <v>0</v>
      </c>
      <c r="N67" s="37">
        <v>831.0</v>
      </c>
      <c r="O67" s="39">
        <f t="shared" si="8"/>
        <v>90.32608696</v>
      </c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6" t="s">
        <v>722</v>
      </c>
      <c r="B68" s="36" t="s">
        <v>774</v>
      </c>
      <c r="C68" s="37">
        <v>129.0</v>
      </c>
      <c r="D68" s="38">
        <f t="shared" si="1"/>
        <v>88</v>
      </c>
      <c r="E68" s="39">
        <f t="shared" si="2"/>
        <v>68.21705426</v>
      </c>
      <c r="F68" s="37">
        <v>88.0</v>
      </c>
      <c r="G68" s="39">
        <f t="shared" si="3"/>
        <v>68.21705426</v>
      </c>
      <c r="H68" s="37">
        <v>0.0</v>
      </c>
      <c r="I68" s="39">
        <f t="shared" si="4"/>
        <v>0</v>
      </c>
      <c r="J68" s="38">
        <f t="shared" si="5"/>
        <v>0</v>
      </c>
      <c r="K68" s="39">
        <f t="shared" si="6"/>
        <v>0</v>
      </c>
      <c r="L68" s="37">
        <v>0.0</v>
      </c>
      <c r="M68" s="39">
        <f t="shared" si="7"/>
        <v>0</v>
      </c>
      <c r="N68" s="37">
        <v>41.0</v>
      </c>
      <c r="O68" s="39">
        <f t="shared" si="8"/>
        <v>31.78294574</v>
      </c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6" t="s">
        <v>726</v>
      </c>
      <c r="B69" s="36" t="s">
        <v>775</v>
      </c>
      <c r="C69" s="37">
        <v>606.0</v>
      </c>
      <c r="D69" s="38">
        <f t="shared" si="1"/>
        <v>87</v>
      </c>
      <c r="E69" s="39">
        <f t="shared" si="2"/>
        <v>14.35643564</v>
      </c>
      <c r="F69" s="37">
        <v>87.0</v>
      </c>
      <c r="G69" s="39">
        <f t="shared" si="3"/>
        <v>14.35643564</v>
      </c>
      <c r="H69" s="37">
        <v>0.0</v>
      </c>
      <c r="I69" s="39">
        <f t="shared" si="4"/>
        <v>0</v>
      </c>
      <c r="J69" s="38">
        <f t="shared" si="5"/>
        <v>0</v>
      </c>
      <c r="K69" s="39">
        <f t="shared" si="6"/>
        <v>0</v>
      </c>
      <c r="L69" s="37">
        <v>0.0</v>
      </c>
      <c r="M69" s="39">
        <f t="shared" si="7"/>
        <v>0</v>
      </c>
      <c r="N69" s="37">
        <v>519.0</v>
      </c>
      <c r="O69" s="39">
        <f t="shared" si="8"/>
        <v>85.64356436</v>
      </c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6" t="s">
        <v>747</v>
      </c>
      <c r="B70" s="36" t="s">
        <v>776</v>
      </c>
      <c r="C70" s="37">
        <v>131.0</v>
      </c>
      <c r="D70" s="38">
        <f t="shared" si="1"/>
        <v>77</v>
      </c>
      <c r="E70" s="39">
        <f t="shared" si="2"/>
        <v>58.77862595</v>
      </c>
      <c r="F70" s="37">
        <v>77.0</v>
      </c>
      <c r="G70" s="39">
        <f t="shared" si="3"/>
        <v>58.77862595</v>
      </c>
      <c r="H70" s="37">
        <v>0.0</v>
      </c>
      <c r="I70" s="39">
        <f t="shared" si="4"/>
        <v>0</v>
      </c>
      <c r="J70" s="38">
        <f t="shared" si="5"/>
        <v>0</v>
      </c>
      <c r="K70" s="39">
        <f t="shared" si="6"/>
        <v>0</v>
      </c>
      <c r="L70" s="37">
        <v>0.0</v>
      </c>
      <c r="M70" s="39">
        <f t="shared" si="7"/>
        <v>0</v>
      </c>
      <c r="N70" s="37">
        <v>54.0</v>
      </c>
      <c r="O70" s="39">
        <f t="shared" si="8"/>
        <v>41.22137405</v>
      </c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6" t="s">
        <v>722</v>
      </c>
      <c r="B71" s="36" t="s">
        <v>777</v>
      </c>
      <c r="C71" s="37">
        <v>211.0</v>
      </c>
      <c r="D71" s="38">
        <f t="shared" si="1"/>
        <v>75</v>
      </c>
      <c r="E71" s="39">
        <f t="shared" si="2"/>
        <v>35.5450237</v>
      </c>
      <c r="F71" s="37">
        <v>75.0</v>
      </c>
      <c r="G71" s="39">
        <f t="shared" si="3"/>
        <v>35.5450237</v>
      </c>
      <c r="H71" s="37">
        <v>0.0</v>
      </c>
      <c r="I71" s="39">
        <f t="shared" si="4"/>
        <v>0</v>
      </c>
      <c r="J71" s="38">
        <f t="shared" si="5"/>
        <v>0</v>
      </c>
      <c r="K71" s="39">
        <f t="shared" si="6"/>
        <v>0</v>
      </c>
      <c r="L71" s="37">
        <v>0.0</v>
      </c>
      <c r="M71" s="39">
        <f t="shared" si="7"/>
        <v>0</v>
      </c>
      <c r="N71" s="37">
        <v>136.0</v>
      </c>
      <c r="O71" s="39">
        <f t="shared" si="8"/>
        <v>64.4549763</v>
      </c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6" t="s">
        <v>722</v>
      </c>
      <c r="B72" s="36" t="s">
        <v>778</v>
      </c>
      <c r="C72" s="37">
        <v>248.0</v>
      </c>
      <c r="D72" s="38">
        <f t="shared" si="1"/>
        <v>66</v>
      </c>
      <c r="E72" s="39">
        <f t="shared" si="2"/>
        <v>26.61290323</v>
      </c>
      <c r="F72" s="37">
        <v>66.0</v>
      </c>
      <c r="G72" s="39">
        <f t="shared" si="3"/>
        <v>26.61290323</v>
      </c>
      <c r="H72" s="37">
        <v>0.0</v>
      </c>
      <c r="I72" s="39">
        <f t="shared" si="4"/>
        <v>0</v>
      </c>
      <c r="J72" s="38">
        <f t="shared" si="5"/>
        <v>0</v>
      </c>
      <c r="K72" s="39">
        <f t="shared" si="6"/>
        <v>0</v>
      </c>
      <c r="L72" s="37">
        <v>0.0</v>
      </c>
      <c r="M72" s="39">
        <f t="shared" si="7"/>
        <v>0</v>
      </c>
      <c r="N72" s="37">
        <v>182.0</v>
      </c>
      <c r="O72" s="39">
        <f t="shared" si="8"/>
        <v>73.38709677</v>
      </c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6" t="s">
        <v>705</v>
      </c>
      <c r="B73" s="36" t="s">
        <v>779</v>
      </c>
      <c r="C73" s="37">
        <v>162.0</v>
      </c>
      <c r="D73" s="38">
        <f t="shared" si="1"/>
        <v>65</v>
      </c>
      <c r="E73" s="39">
        <f t="shared" si="2"/>
        <v>40.12345679</v>
      </c>
      <c r="F73" s="37">
        <v>65.0</v>
      </c>
      <c r="G73" s="39">
        <f t="shared" si="3"/>
        <v>40.12345679</v>
      </c>
      <c r="H73" s="37">
        <v>0.0</v>
      </c>
      <c r="I73" s="39">
        <f t="shared" si="4"/>
        <v>0</v>
      </c>
      <c r="J73" s="38">
        <f t="shared" si="5"/>
        <v>0</v>
      </c>
      <c r="K73" s="39">
        <f t="shared" si="6"/>
        <v>0</v>
      </c>
      <c r="L73" s="37">
        <v>0.0</v>
      </c>
      <c r="M73" s="39">
        <f t="shared" si="7"/>
        <v>0</v>
      </c>
      <c r="N73" s="37">
        <v>97.0</v>
      </c>
      <c r="O73" s="39">
        <f t="shared" si="8"/>
        <v>59.87654321</v>
      </c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6" t="s">
        <v>780</v>
      </c>
      <c r="B74" s="36" t="s">
        <v>780</v>
      </c>
      <c r="C74" s="37">
        <v>1486.0</v>
      </c>
      <c r="D74" s="38">
        <f t="shared" si="1"/>
        <v>42</v>
      </c>
      <c r="E74" s="39">
        <f t="shared" si="2"/>
        <v>2.826379542</v>
      </c>
      <c r="F74" s="37">
        <v>6.0</v>
      </c>
      <c r="G74" s="39">
        <f t="shared" si="3"/>
        <v>0.4037685061</v>
      </c>
      <c r="H74" s="37">
        <v>36.0</v>
      </c>
      <c r="I74" s="39">
        <f t="shared" si="4"/>
        <v>2.422611036</v>
      </c>
      <c r="J74" s="38">
        <f t="shared" si="5"/>
        <v>882</v>
      </c>
      <c r="K74" s="39">
        <f t="shared" si="6"/>
        <v>59.35397039</v>
      </c>
      <c r="L74" s="37">
        <v>846.0</v>
      </c>
      <c r="M74" s="39">
        <f t="shared" si="7"/>
        <v>56.93135935</v>
      </c>
      <c r="N74" s="37">
        <v>598.0</v>
      </c>
      <c r="O74" s="39">
        <f t="shared" si="8"/>
        <v>40.2422611</v>
      </c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6" t="s">
        <v>733</v>
      </c>
      <c r="B75" s="36" t="s">
        <v>781</v>
      </c>
      <c r="C75" s="37">
        <v>447.0</v>
      </c>
      <c r="D75" s="38">
        <f t="shared" si="1"/>
        <v>38</v>
      </c>
      <c r="E75" s="39">
        <f t="shared" si="2"/>
        <v>8.501118568</v>
      </c>
      <c r="F75" s="37">
        <v>38.0</v>
      </c>
      <c r="G75" s="39">
        <f t="shared" si="3"/>
        <v>8.501118568</v>
      </c>
      <c r="H75" s="37">
        <v>0.0</v>
      </c>
      <c r="I75" s="39">
        <f t="shared" si="4"/>
        <v>0</v>
      </c>
      <c r="J75" s="38">
        <f t="shared" si="5"/>
        <v>0</v>
      </c>
      <c r="K75" s="39">
        <f t="shared" si="6"/>
        <v>0</v>
      </c>
      <c r="L75" s="37">
        <v>0.0</v>
      </c>
      <c r="M75" s="39">
        <f t="shared" si="7"/>
        <v>0</v>
      </c>
      <c r="N75" s="37">
        <v>409.0</v>
      </c>
      <c r="O75" s="39">
        <f t="shared" si="8"/>
        <v>91.49888143</v>
      </c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6" t="s">
        <v>719</v>
      </c>
      <c r="B76" s="36" t="s">
        <v>782</v>
      </c>
      <c r="C76" s="37">
        <v>255.0</v>
      </c>
      <c r="D76" s="38">
        <f t="shared" si="1"/>
        <v>35</v>
      </c>
      <c r="E76" s="39">
        <f t="shared" si="2"/>
        <v>13.7254902</v>
      </c>
      <c r="F76" s="37">
        <v>35.0</v>
      </c>
      <c r="G76" s="39">
        <f t="shared" si="3"/>
        <v>13.7254902</v>
      </c>
      <c r="H76" s="37">
        <v>0.0</v>
      </c>
      <c r="I76" s="39">
        <f t="shared" si="4"/>
        <v>0</v>
      </c>
      <c r="J76" s="38">
        <f t="shared" si="5"/>
        <v>0</v>
      </c>
      <c r="K76" s="39">
        <f t="shared" si="6"/>
        <v>0</v>
      </c>
      <c r="L76" s="37">
        <v>0.0</v>
      </c>
      <c r="M76" s="39">
        <f t="shared" si="7"/>
        <v>0</v>
      </c>
      <c r="N76" s="37">
        <v>220.0</v>
      </c>
      <c r="O76" s="39">
        <f t="shared" si="8"/>
        <v>86.2745098</v>
      </c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6" t="s">
        <v>783</v>
      </c>
      <c r="B77" s="36" t="s">
        <v>783</v>
      </c>
      <c r="C77" s="37">
        <v>91.0</v>
      </c>
      <c r="D77" s="38">
        <f t="shared" si="1"/>
        <v>32</v>
      </c>
      <c r="E77" s="39">
        <f t="shared" si="2"/>
        <v>35.16483516</v>
      </c>
      <c r="F77" s="37">
        <v>32.0</v>
      </c>
      <c r="G77" s="39">
        <f t="shared" si="3"/>
        <v>35.16483516</v>
      </c>
      <c r="H77" s="37">
        <v>0.0</v>
      </c>
      <c r="I77" s="39">
        <f t="shared" si="4"/>
        <v>0</v>
      </c>
      <c r="J77" s="38">
        <f t="shared" si="5"/>
        <v>0</v>
      </c>
      <c r="K77" s="39">
        <f t="shared" si="6"/>
        <v>0</v>
      </c>
      <c r="L77" s="37">
        <v>0.0</v>
      </c>
      <c r="M77" s="39">
        <f t="shared" si="7"/>
        <v>0</v>
      </c>
      <c r="N77" s="37">
        <v>59.0</v>
      </c>
      <c r="O77" s="39">
        <f t="shared" si="8"/>
        <v>64.83516484</v>
      </c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6" t="s">
        <v>766</v>
      </c>
      <c r="B78" s="36" t="s">
        <v>784</v>
      </c>
      <c r="C78" s="37">
        <v>40.0</v>
      </c>
      <c r="D78" s="38">
        <f t="shared" si="1"/>
        <v>31</v>
      </c>
      <c r="E78" s="39">
        <f t="shared" si="2"/>
        <v>77.5</v>
      </c>
      <c r="F78" s="37">
        <v>31.0</v>
      </c>
      <c r="G78" s="39">
        <f t="shared" si="3"/>
        <v>77.5</v>
      </c>
      <c r="H78" s="37">
        <v>0.0</v>
      </c>
      <c r="I78" s="39">
        <f t="shared" si="4"/>
        <v>0</v>
      </c>
      <c r="J78" s="38">
        <f t="shared" si="5"/>
        <v>0</v>
      </c>
      <c r="K78" s="39">
        <f t="shared" si="6"/>
        <v>0</v>
      </c>
      <c r="L78" s="37">
        <v>0.0</v>
      </c>
      <c r="M78" s="39">
        <f t="shared" si="7"/>
        <v>0</v>
      </c>
      <c r="N78" s="37">
        <v>9.0</v>
      </c>
      <c r="O78" s="39">
        <f t="shared" si="8"/>
        <v>22.5</v>
      </c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6" t="s">
        <v>785</v>
      </c>
      <c r="B79" s="36" t="s">
        <v>785</v>
      </c>
      <c r="C79" s="37">
        <v>2501.0</v>
      </c>
      <c r="D79" s="38">
        <f t="shared" si="1"/>
        <v>29</v>
      </c>
      <c r="E79" s="39">
        <f t="shared" si="2"/>
        <v>1.159536186</v>
      </c>
      <c r="F79" s="37">
        <v>29.0</v>
      </c>
      <c r="G79" s="39">
        <f t="shared" si="3"/>
        <v>1.159536186</v>
      </c>
      <c r="H79" s="37">
        <v>0.0</v>
      </c>
      <c r="I79" s="39">
        <f t="shared" si="4"/>
        <v>0</v>
      </c>
      <c r="J79" s="38">
        <f t="shared" si="5"/>
        <v>0</v>
      </c>
      <c r="K79" s="39">
        <f t="shared" si="6"/>
        <v>0</v>
      </c>
      <c r="L79" s="37">
        <v>0.0</v>
      </c>
      <c r="M79" s="39">
        <f t="shared" si="7"/>
        <v>0</v>
      </c>
      <c r="N79" s="37">
        <v>2472.0</v>
      </c>
      <c r="O79" s="39">
        <f t="shared" si="8"/>
        <v>98.84046381</v>
      </c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6" t="s">
        <v>726</v>
      </c>
      <c r="B80" s="36" t="s">
        <v>786</v>
      </c>
      <c r="C80" s="37">
        <v>385.0</v>
      </c>
      <c r="D80" s="38">
        <f t="shared" si="1"/>
        <v>28</v>
      </c>
      <c r="E80" s="39">
        <f t="shared" si="2"/>
        <v>7.272727273</v>
      </c>
      <c r="F80" s="37">
        <v>28.0</v>
      </c>
      <c r="G80" s="39">
        <f t="shared" si="3"/>
        <v>7.272727273</v>
      </c>
      <c r="H80" s="37">
        <v>0.0</v>
      </c>
      <c r="I80" s="39">
        <f t="shared" si="4"/>
        <v>0</v>
      </c>
      <c r="J80" s="38">
        <f t="shared" si="5"/>
        <v>0</v>
      </c>
      <c r="K80" s="39">
        <f t="shared" si="6"/>
        <v>0</v>
      </c>
      <c r="L80" s="37">
        <v>0.0</v>
      </c>
      <c r="M80" s="39">
        <f t="shared" si="7"/>
        <v>0</v>
      </c>
      <c r="N80" s="37">
        <v>357.0</v>
      </c>
      <c r="O80" s="39">
        <f t="shared" si="8"/>
        <v>92.72727273</v>
      </c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6" t="s">
        <v>766</v>
      </c>
      <c r="B81" s="36" t="s">
        <v>787</v>
      </c>
      <c r="C81" s="37">
        <v>140.0</v>
      </c>
      <c r="D81" s="38">
        <f t="shared" si="1"/>
        <v>24</v>
      </c>
      <c r="E81" s="39">
        <f t="shared" si="2"/>
        <v>17.14285714</v>
      </c>
      <c r="F81" s="37">
        <v>24.0</v>
      </c>
      <c r="G81" s="39">
        <f t="shared" si="3"/>
        <v>17.14285714</v>
      </c>
      <c r="H81" s="37">
        <v>0.0</v>
      </c>
      <c r="I81" s="39">
        <f t="shared" si="4"/>
        <v>0</v>
      </c>
      <c r="J81" s="38">
        <f t="shared" si="5"/>
        <v>0</v>
      </c>
      <c r="K81" s="39">
        <f t="shared" si="6"/>
        <v>0</v>
      </c>
      <c r="L81" s="37">
        <v>0.0</v>
      </c>
      <c r="M81" s="39">
        <f t="shared" si="7"/>
        <v>0</v>
      </c>
      <c r="N81" s="37">
        <v>116.0</v>
      </c>
      <c r="O81" s="39">
        <f t="shared" si="8"/>
        <v>82.85714286</v>
      </c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6" t="s">
        <v>747</v>
      </c>
      <c r="B82" s="36" t="s">
        <v>788</v>
      </c>
      <c r="C82" s="37">
        <v>185.0</v>
      </c>
      <c r="D82" s="38">
        <f t="shared" si="1"/>
        <v>20</v>
      </c>
      <c r="E82" s="39">
        <f t="shared" si="2"/>
        <v>10.81081081</v>
      </c>
      <c r="F82" s="37">
        <v>20.0</v>
      </c>
      <c r="G82" s="39">
        <f t="shared" si="3"/>
        <v>10.81081081</v>
      </c>
      <c r="H82" s="37">
        <v>0.0</v>
      </c>
      <c r="I82" s="39">
        <f t="shared" si="4"/>
        <v>0</v>
      </c>
      <c r="J82" s="38">
        <f t="shared" si="5"/>
        <v>0</v>
      </c>
      <c r="K82" s="39">
        <f t="shared" si="6"/>
        <v>0</v>
      </c>
      <c r="L82" s="37">
        <v>0.0</v>
      </c>
      <c r="M82" s="39">
        <f t="shared" si="7"/>
        <v>0</v>
      </c>
      <c r="N82" s="37">
        <v>165.0</v>
      </c>
      <c r="O82" s="39">
        <f t="shared" si="8"/>
        <v>89.18918919</v>
      </c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6" t="s">
        <v>705</v>
      </c>
      <c r="B83" s="36" t="s">
        <v>789</v>
      </c>
      <c r="C83" s="37">
        <v>25.0</v>
      </c>
      <c r="D83" s="38">
        <f t="shared" si="1"/>
        <v>16</v>
      </c>
      <c r="E83" s="39">
        <f t="shared" si="2"/>
        <v>64</v>
      </c>
      <c r="F83" s="37">
        <v>16.0</v>
      </c>
      <c r="G83" s="39">
        <f t="shared" si="3"/>
        <v>64</v>
      </c>
      <c r="H83" s="37">
        <v>0.0</v>
      </c>
      <c r="I83" s="39">
        <f t="shared" si="4"/>
        <v>0</v>
      </c>
      <c r="J83" s="38">
        <f t="shared" si="5"/>
        <v>0</v>
      </c>
      <c r="K83" s="39">
        <f t="shared" si="6"/>
        <v>0</v>
      </c>
      <c r="L83" s="37">
        <v>0.0</v>
      </c>
      <c r="M83" s="39">
        <f t="shared" si="7"/>
        <v>0</v>
      </c>
      <c r="N83" s="37">
        <v>9.0</v>
      </c>
      <c r="O83" s="39">
        <f t="shared" si="8"/>
        <v>36</v>
      </c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6" t="s">
        <v>790</v>
      </c>
      <c r="B84" s="36" t="s">
        <v>790</v>
      </c>
      <c r="C84" s="37">
        <v>90.0</v>
      </c>
      <c r="D84" s="38">
        <f t="shared" si="1"/>
        <v>14</v>
      </c>
      <c r="E84" s="39">
        <f t="shared" si="2"/>
        <v>15.55555556</v>
      </c>
      <c r="F84" s="37">
        <v>14.0</v>
      </c>
      <c r="G84" s="39">
        <f t="shared" si="3"/>
        <v>15.55555556</v>
      </c>
      <c r="H84" s="37">
        <v>0.0</v>
      </c>
      <c r="I84" s="39">
        <f t="shared" si="4"/>
        <v>0</v>
      </c>
      <c r="J84" s="38">
        <f t="shared" si="5"/>
        <v>0</v>
      </c>
      <c r="K84" s="39">
        <f t="shared" si="6"/>
        <v>0</v>
      </c>
      <c r="L84" s="37">
        <v>0.0</v>
      </c>
      <c r="M84" s="39">
        <f t="shared" si="7"/>
        <v>0</v>
      </c>
      <c r="N84" s="37">
        <v>76.0</v>
      </c>
      <c r="O84" s="39">
        <f t="shared" si="8"/>
        <v>84.44444444</v>
      </c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6" t="s">
        <v>722</v>
      </c>
      <c r="B85" s="36" t="s">
        <v>791</v>
      </c>
      <c r="C85" s="37">
        <v>101.0</v>
      </c>
      <c r="D85" s="38">
        <f t="shared" si="1"/>
        <v>12</v>
      </c>
      <c r="E85" s="39">
        <f t="shared" si="2"/>
        <v>11.88118812</v>
      </c>
      <c r="F85" s="37">
        <v>12.0</v>
      </c>
      <c r="G85" s="39">
        <f t="shared" si="3"/>
        <v>11.88118812</v>
      </c>
      <c r="H85" s="37">
        <v>0.0</v>
      </c>
      <c r="I85" s="39">
        <f t="shared" si="4"/>
        <v>0</v>
      </c>
      <c r="J85" s="38">
        <f t="shared" si="5"/>
        <v>0</v>
      </c>
      <c r="K85" s="39">
        <f t="shared" si="6"/>
        <v>0</v>
      </c>
      <c r="L85" s="37">
        <v>0.0</v>
      </c>
      <c r="M85" s="39">
        <f t="shared" si="7"/>
        <v>0</v>
      </c>
      <c r="N85" s="37">
        <v>89.0</v>
      </c>
      <c r="O85" s="39">
        <f t="shared" si="8"/>
        <v>88.11881188</v>
      </c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6" t="s">
        <v>733</v>
      </c>
      <c r="B86" s="36" t="s">
        <v>792</v>
      </c>
      <c r="C86" s="37">
        <v>180.0</v>
      </c>
      <c r="D86" s="38">
        <f t="shared" si="1"/>
        <v>12</v>
      </c>
      <c r="E86" s="39">
        <f t="shared" si="2"/>
        <v>6.666666667</v>
      </c>
      <c r="F86" s="37">
        <v>12.0</v>
      </c>
      <c r="G86" s="39">
        <f t="shared" si="3"/>
        <v>6.666666667</v>
      </c>
      <c r="H86" s="37">
        <v>0.0</v>
      </c>
      <c r="I86" s="39">
        <f t="shared" si="4"/>
        <v>0</v>
      </c>
      <c r="J86" s="38">
        <f t="shared" si="5"/>
        <v>0</v>
      </c>
      <c r="K86" s="39">
        <f t="shared" si="6"/>
        <v>0</v>
      </c>
      <c r="L86" s="37">
        <v>0.0</v>
      </c>
      <c r="M86" s="39">
        <f t="shared" si="7"/>
        <v>0</v>
      </c>
      <c r="N86" s="37">
        <v>168.0</v>
      </c>
      <c r="O86" s="39">
        <f t="shared" si="8"/>
        <v>93.33333333</v>
      </c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6" t="s">
        <v>793</v>
      </c>
      <c r="B87" s="36" t="s">
        <v>793</v>
      </c>
      <c r="C87" s="37">
        <v>1092.0</v>
      </c>
      <c r="D87" s="38">
        <f t="shared" si="1"/>
        <v>12</v>
      </c>
      <c r="E87" s="39">
        <f t="shared" si="2"/>
        <v>1.098901099</v>
      </c>
      <c r="F87" s="37">
        <v>12.0</v>
      </c>
      <c r="G87" s="39">
        <f t="shared" si="3"/>
        <v>1.098901099</v>
      </c>
      <c r="H87" s="37">
        <v>0.0</v>
      </c>
      <c r="I87" s="39">
        <f t="shared" si="4"/>
        <v>0</v>
      </c>
      <c r="J87" s="38">
        <f t="shared" si="5"/>
        <v>0</v>
      </c>
      <c r="K87" s="39">
        <f t="shared" si="6"/>
        <v>0</v>
      </c>
      <c r="L87" s="37">
        <v>0.0</v>
      </c>
      <c r="M87" s="39">
        <f t="shared" si="7"/>
        <v>0</v>
      </c>
      <c r="N87" s="37">
        <v>1080.0</v>
      </c>
      <c r="O87" s="39">
        <f t="shared" si="8"/>
        <v>98.9010989</v>
      </c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6" t="s">
        <v>722</v>
      </c>
      <c r="B88" s="36" t="s">
        <v>794</v>
      </c>
      <c r="C88" s="37">
        <v>1135.0</v>
      </c>
      <c r="D88" s="38">
        <f t="shared" si="1"/>
        <v>11</v>
      </c>
      <c r="E88" s="39">
        <f t="shared" si="2"/>
        <v>0.9691629956</v>
      </c>
      <c r="F88" s="37">
        <v>11.0</v>
      </c>
      <c r="G88" s="39">
        <f t="shared" si="3"/>
        <v>0.9691629956</v>
      </c>
      <c r="H88" s="37">
        <v>0.0</v>
      </c>
      <c r="I88" s="39">
        <f t="shared" si="4"/>
        <v>0</v>
      </c>
      <c r="J88" s="38">
        <f t="shared" si="5"/>
        <v>0</v>
      </c>
      <c r="K88" s="39">
        <f t="shared" si="6"/>
        <v>0</v>
      </c>
      <c r="L88" s="37">
        <v>0.0</v>
      </c>
      <c r="M88" s="39">
        <f t="shared" si="7"/>
        <v>0</v>
      </c>
      <c r="N88" s="37">
        <v>1124.0</v>
      </c>
      <c r="O88" s="39">
        <f t="shared" si="8"/>
        <v>99.030837</v>
      </c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6" t="s">
        <v>795</v>
      </c>
      <c r="B89" s="36" t="s">
        <v>795</v>
      </c>
      <c r="C89" s="37">
        <v>1568.0</v>
      </c>
      <c r="D89" s="38">
        <f t="shared" si="1"/>
        <v>11</v>
      </c>
      <c r="E89" s="39">
        <f t="shared" si="2"/>
        <v>0.7015306122</v>
      </c>
      <c r="F89" s="37">
        <v>11.0</v>
      </c>
      <c r="G89" s="39">
        <f t="shared" si="3"/>
        <v>0.7015306122</v>
      </c>
      <c r="H89" s="37">
        <v>0.0</v>
      </c>
      <c r="I89" s="39">
        <f t="shared" si="4"/>
        <v>0</v>
      </c>
      <c r="J89" s="38">
        <f t="shared" si="5"/>
        <v>1146</v>
      </c>
      <c r="K89" s="39">
        <f t="shared" si="6"/>
        <v>73.08673469</v>
      </c>
      <c r="L89" s="37">
        <v>1146.0</v>
      </c>
      <c r="M89" s="39">
        <f t="shared" si="7"/>
        <v>73.08673469</v>
      </c>
      <c r="N89" s="37">
        <v>411.0</v>
      </c>
      <c r="O89" s="39">
        <f t="shared" si="8"/>
        <v>26.21173469</v>
      </c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6" t="s">
        <v>722</v>
      </c>
      <c r="B90" s="36" t="s">
        <v>796</v>
      </c>
      <c r="C90" s="37">
        <v>108.0</v>
      </c>
      <c r="D90" s="38">
        <f t="shared" si="1"/>
        <v>6</v>
      </c>
      <c r="E90" s="39">
        <f t="shared" si="2"/>
        <v>5.555555556</v>
      </c>
      <c r="F90" s="37">
        <v>6.0</v>
      </c>
      <c r="G90" s="39">
        <f t="shared" si="3"/>
        <v>5.555555556</v>
      </c>
      <c r="H90" s="37">
        <v>0.0</v>
      </c>
      <c r="I90" s="39">
        <f t="shared" si="4"/>
        <v>0</v>
      </c>
      <c r="J90" s="38">
        <f t="shared" si="5"/>
        <v>0</v>
      </c>
      <c r="K90" s="39">
        <f t="shared" si="6"/>
        <v>0</v>
      </c>
      <c r="L90" s="37">
        <v>0.0</v>
      </c>
      <c r="M90" s="39">
        <f t="shared" si="7"/>
        <v>0</v>
      </c>
      <c r="N90" s="37">
        <v>102.0</v>
      </c>
      <c r="O90" s="39">
        <f t="shared" si="8"/>
        <v>94.44444444</v>
      </c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6" t="s">
        <v>722</v>
      </c>
      <c r="B91" s="36" t="s">
        <v>797</v>
      </c>
      <c r="C91" s="37">
        <v>320.0</v>
      </c>
      <c r="D91" s="38">
        <f t="shared" si="1"/>
        <v>6</v>
      </c>
      <c r="E91" s="39">
        <f t="shared" si="2"/>
        <v>1.875</v>
      </c>
      <c r="F91" s="37">
        <v>6.0</v>
      </c>
      <c r="G91" s="39">
        <f t="shared" si="3"/>
        <v>1.875</v>
      </c>
      <c r="H91" s="37">
        <v>0.0</v>
      </c>
      <c r="I91" s="39">
        <f t="shared" si="4"/>
        <v>0</v>
      </c>
      <c r="J91" s="38">
        <f t="shared" si="5"/>
        <v>0</v>
      </c>
      <c r="K91" s="39">
        <f t="shared" si="6"/>
        <v>0</v>
      </c>
      <c r="L91" s="37">
        <v>0.0</v>
      </c>
      <c r="M91" s="39">
        <f t="shared" si="7"/>
        <v>0</v>
      </c>
      <c r="N91" s="37">
        <v>314.0</v>
      </c>
      <c r="O91" s="39">
        <f t="shared" si="8"/>
        <v>98.125</v>
      </c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6" t="s">
        <v>798</v>
      </c>
      <c r="B92" s="36" t="s">
        <v>798</v>
      </c>
      <c r="C92" s="37">
        <v>93.0</v>
      </c>
      <c r="D92" s="38">
        <f t="shared" si="1"/>
        <v>5</v>
      </c>
      <c r="E92" s="39">
        <f t="shared" si="2"/>
        <v>5.376344086</v>
      </c>
      <c r="F92" s="37">
        <v>5.0</v>
      </c>
      <c r="G92" s="39">
        <f t="shared" si="3"/>
        <v>5.376344086</v>
      </c>
      <c r="H92" s="37">
        <v>0.0</v>
      </c>
      <c r="I92" s="39">
        <f t="shared" si="4"/>
        <v>0</v>
      </c>
      <c r="J92" s="38">
        <f t="shared" si="5"/>
        <v>0</v>
      </c>
      <c r="K92" s="39">
        <f t="shared" si="6"/>
        <v>0</v>
      </c>
      <c r="L92" s="37">
        <v>0.0</v>
      </c>
      <c r="M92" s="39">
        <f t="shared" si="7"/>
        <v>0</v>
      </c>
      <c r="N92" s="37">
        <v>88.0</v>
      </c>
      <c r="O92" s="39">
        <f t="shared" si="8"/>
        <v>94.62365591</v>
      </c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6" t="s">
        <v>712</v>
      </c>
      <c r="B93" s="36" t="s">
        <v>799</v>
      </c>
      <c r="C93" s="37">
        <v>9.0</v>
      </c>
      <c r="D93" s="38">
        <f t="shared" si="1"/>
        <v>4</v>
      </c>
      <c r="E93" s="39">
        <f t="shared" si="2"/>
        <v>44.44444444</v>
      </c>
      <c r="F93" s="37">
        <v>4.0</v>
      </c>
      <c r="G93" s="39">
        <f t="shared" si="3"/>
        <v>44.44444444</v>
      </c>
      <c r="H93" s="37">
        <v>0.0</v>
      </c>
      <c r="I93" s="39">
        <f t="shared" si="4"/>
        <v>0</v>
      </c>
      <c r="J93" s="38">
        <f t="shared" si="5"/>
        <v>0</v>
      </c>
      <c r="K93" s="39">
        <f t="shared" si="6"/>
        <v>0</v>
      </c>
      <c r="L93" s="37">
        <v>0.0</v>
      </c>
      <c r="M93" s="39">
        <f t="shared" si="7"/>
        <v>0</v>
      </c>
      <c r="N93" s="37">
        <v>5.0</v>
      </c>
      <c r="O93" s="39">
        <f t="shared" si="8"/>
        <v>55.55555556</v>
      </c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6" t="s">
        <v>800</v>
      </c>
      <c r="B94" s="36" t="s">
        <v>801</v>
      </c>
      <c r="C94" s="37">
        <v>258.0</v>
      </c>
      <c r="D94" s="38">
        <f t="shared" si="1"/>
        <v>4</v>
      </c>
      <c r="E94" s="39">
        <f t="shared" si="2"/>
        <v>1.550387597</v>
      </c>
      <c r="F94" s="37">
        <v>4.0</v>
      </c>
      <c r="G94" s="39">
        <f t="shared" si="3"/>
        <v>1.550387597</v>
      </c>
      <c r="H94" s="37">
        <v>0.0</v>
      </c>
      <c r="I94" s="39">
        <f t="shared" si="4"/>
        <v>0</v>
      </c>
      <c r="J94" s="38">
        <f t="shared" si="5"/>
        <v>0</v>
      </c>
      <c r="K94" s="39">
        <f t="shared" si="6"/>
        <v>0</v>
      </c>
      <c r="L94" s="37">
        <v>0.0</v>
      </c>
      <c r="M94" s="39">
        <f t="shared" si="7"/>
        <v>0</v>
      </c>
      <c r="N94" s="37">
        <v>254.0</v>
      </c>
      <c r="O94" s="39">
        <f t="shared" si="8"/>
        <v>98.4496124</v>
      </c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6" t="s">
        <v>802</v>
      </c>
      <c r="B95" s="36" t="s">
        <v>802</v>
      </c>
      <c r="C95" s="37">
        <v>260.0</v>
      </c>
      <c r="D95" s="38">
        <f t="shared" si="1"/>
        <v>4</v>
      </c>
      <c r="E95" s="39">
        <f t="shared" si="2"/>
        <v>1.538461538</v>
      </c>
      <c r="F95" s="37">
        <v>0.0</v>
      </c>
      <c r="G95" s="39">
        <f t="shared" si="3"/>
        <v>0</v>
      </c>
      <c r="H95" s="37">
        <v>4.0</v>
      </c>
      <c r="I95" s="39">
        <f t="shared" si="4"/>
        <v>1.538461538</v>
      </c>
      <c r="J95" s="38">
        <f t="shared" si="5"/>
        <v>190</v>
      </c>
      <c r="K95" s="39">
        <f t="shared" si="6"/>
        <v>73.07692308</v>
      </c>
      <c r="L95" s="37">
        <v>186.0</v>
      </c>
      <c r="M95" s="39">
        <f t="shared" si="7"/>
        <v>71.53846154</v>
      </c>
      <c r="N95" s="37">
        <v>70.0</v>
      </c>
      <c r="O95" s="39">
        <f t="shared" si="8"/>
        <v>26.92307692</v>
      </c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6" t="s">
        <v>803</v>
      </c>
      <c r="B96" s="36" t="s">
        <v>803</v>
      </c>
      <c r="C96" s="37">
        <v>9.0</v>
      </c>
      <c r="D96" s="38">
        <f t="shared" si="1"/>
        <v>2</v>
      </c>
      <c r="E96" s="39">
        <f t="shared" si="2"/>
        <v>22.22222222</v>
      </c>
      <c r="F96" s="37">
        <v>2.0</v>
      </c>
      <c r="G96" s="39">
        <f t="shared" si="3"/>
        <v>22.22222222</v>
      </c>
      <c r="H96" s="37">
        <v>0.0</v>
      </c>
      <c r="I96" s="39">
        <f t="shared" si="4"/>
        <v>0</v>
      </c>
      <c r="J96" s="38">
        <f t="shared" si="5"/>
        <v>0</v>
      </c>
      <c r="K96" s="39">
        <f t="shared" si="6"/>
        <v>0</v>
      </c>
      <c r="L96" s="37">
        <v>0.0</v>
      </c>
      <c r="M96" s="39">
        <f t="shared" si="7"/>
        <v>0</v>
      </c>
      <c r="N96" s="37">
        <v>7.0</v>
      </c>
      <c r="O96" s="39">
        <f t="shared" si="8"/>
        <v>77.77777778</v>
      </c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6" t="s">
        <v>804</v>
      </c>
      <c r="B97" s="36" t="s">
        <v>804</v>
      </c>
      <c r="C97" s="37">
        <v>10.0</v>
      </c>
      <c r="D97" s="38">
        <f t="shared" si="1"/>
        <v>2</v>
      </c>
      <c r="E97" s="39">
        <f t="shared" si="2"/>
        <v>20</v>
      </c>
      <c r="F97" s="37">
        <v>2.0</v>
      </c>
      <c r="G97" s="39">
        <f t="shared" si="3"/>
        <v>20</v>
      </c>
      <c r="H97" s="37">
        <v>0.0</v>
      </c>
      <c r="I97" s="39">
        <f t="shared" si="4"/>
        <v>0</v>
      </c>
      <c r="J97" s="38">
        <f t="shared" si="5"/>
        <v>0</v>
      </c>
      <c r="K97" s="39">
        <f t="shared" si="6"/>
        <v>0</v>
      </c>
      <c r="L97" s="37">
        <v>0.0</v>
      </c>
      <c r="M97" s="39">
        <f t="shared" si="7"/>
        <v>0</v>
      </c>
      <c r="N97" s="37">
        <v>8.0</v>
      </c>
      <c r="O97" s="39">
        <f t="shared" si="8"/>
        <v>80</v>
      </c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6" t="s">
        <v>805</v>
      </c>
      <c r="B98" s="36" t="s">
        <v>805</v>
      </c>
      <c r="C98" s="37">
        <v>19.0</v>
      </c>
      <c r="D98" s="38">
        <f t="shared" si="1"/>
        <v>2</v>
      </c>
      <c r="E98" s="39">
        <f t="shared" si="2"/>
        <v>10.52631579</v>
      </c>
      <c r="F98" s="37">
        <v>0.0</v>
      </c>
      <c r="G98" s="39">
        <f t="shared" si="3"/>
        <v>0</v>
      </c>
      <c r="H98" s="37">
        <v>2.0</v>
      </c>
      <c r="I98" s="39">
        <f t="shared" si="4"/>
        <v>10.52631579</v>
      </c>
      <c r="J98" s="38">
        <f t="shared" si="5"/>
        <v>19</v>
      </c>
      <c r="K98" s="39">
        <f t="shared" si="6"/>
        <v>100</v>
      </c>
      <c r="L98" s="37">
        <v>17.0</v>
      </c>
      <c r="M98" s="39">
        <f t="shared" si="7"/>
        <v>89.47368421</v>
      </c>
      <c r="N98" s="37">
        <v>0.0</v>
      </c>
      <c r="O98" s="39">
        <f t="shared" si="8"/>
        <v>0</v>
      </c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6" t="s">
        <v>806</v>
      </c>
      <c r="B99" s="36" t="s">
        <v>806</v>
      </c>
      <c r="C99" s="37">
        <v>4.0</v>
      </c>
      <c r="D99" s="38">
        <f t="shared" si="1"/>
        <v>1</v>
      </c>
      <c r="E99" s="39">
        <f t="shared" si="2"/>
        <v>25</v>
      </c>
      <c r="F99" s="37">
        <v>1.0</v>
      </c>
      <c r="G99" s="39">
        <f t="shared" si="3"/>
        <v>25</v>
      </c>
      <c r="H99" s="37">
        <v>0.0</v>
      </c>
      <c r="I99" s="39">
        <f t="shared" si="4"/>
        <v>0</v>
      </c>
      <c r="J99" s="38">
        <f t="shared" si="5"/>
        <v>0</v>
      </c>
      <c r="K99" s="39">
        <f t="shared" si="6"/>
        <v>0</v>
      </c>
      <c r="L99" s="37">
        <v>0.0</v>
      </c>
      <c r="M99" s="39">
        <f t="shared" si="7"/>
        <v>0</v>
      </c>
      <c r="N99" s="37">
        <v>3.0</v>
      </c>
      <c r="O99" s="39">
        <f t="shared" si="8"/>
        <v>75</v>
      </c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6" t="s">
        <v>712</v>
      </c>
      <c r="B100" s="36" t="s">
        <v>807</v>
      </c>
      <c r="C100" s="37">
        <v>56.0</v>
      </c>
      <c r="D100" s="38">
        <v>1.0</v>
      </c>
      <c r="E100" s="39">
        <f t="shared" si="2"/>
        <v>1.785714286</v>
      </c>
      <c r="F100" s="37">
        <v>1.0</v>
      </c>
      <c r="G100" s="39">
        <f t="shared" si="3"/>
        <v>1.785714286</v>
      </c>
      <c r="H100" s="37">
        <v>0.0</v>
      </c>
      <c r="I100" s="39">
        <f t="shared" si="4"/>
        <v>0</v>
      </c>
      <c r="J100" s="38">
        <f t="shared" si="5"/>
        <v>0</v>
      </c>
      <c r="K100" s="39">
        <f t="shared" si="6"/>
        <v>0</v>
      </c>
      <c r="L100" s="37">
        <v>0.0</v>
      </c>
      <c r="M100" s="39">
        <f t="shared" si="7"/>
        <v>0</v>
      </c>
      <c r="N100" s="37">
        <v>55.0</v>
      </c>
      <c r="O100" s="39">
        <f t="shared" si="8"/>
        <v>98.21428571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6" t="s">
        <v>712</v>
      </c>
      <c r="B101" s="36" t="s">
        <v>808</v>
      </c>
      <c r="C101" s="37">
        <v>21.0</v>
      </c>
      <c r="D101" s="38">
        <f t="shared" ref="D101:D135" si="9">F101+H101</f>
        <v>0</v>
      </c>
      <c r="E101" s="39">
        <f t="shared" si="2"/>
        <v>0</v>
      </c>
      <c r="F101" s="37">
        <v>0.0</v>
      </c>
      <c r="G101" s="39">
        <f t="shared" si="3"/>
        <v>0</v>
      </c>
      <c r="H101" s="37">
        <v>0.0</v>
      </c>
      <c r="I101" s="39">
        <f t="shared" si="4"/>
        <v>0</v>
      </c>
      <c r="J101" s="38">
        <f t="shared" si="5"/>
        <v>0</v>
      </c>
      <c r="K101" s="39">
        <f t="shared" si="6"/>
        <v>0</v>
      </c>
      <c r="L101" s="37">
        <v>0.0</v>
      </c>
      <c r="M101" s="39">
        <f t="shared" si="7"/>
        <v>0</v>
      </c>
      <c r="N101" s="37">
        <v>21.0</v>
      </c>
      <c r="O101" s="39">
        <f t="shared" si="8"/>
        <v>100</v>
      </c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6" t="s">
        <v>712</v>
      </c>
      <c r="B102" s="36" t="s">
        <v>809</v>
      </c>
      <c r="C102" s="37">
        <v>8.0</v>
      </c>
      <c r="D102" s="38">
        <f t="shared" si="9"/>
        <v>0</v>
      </c>
      <c r="E102" s="39">
        <f t="shared" si="2"/>
        <v>0</v>
      </c>
      <c r="F102" s="37">
        <v>0.0</v>
      </c>
      <c r="G102" s="39">
        <f t="shared" si="3"/>
        <v>0</v>
      </c>
      <c r="H102" s="37">
        <v>0.0</v>
      </c>
      <c r="I102" s="39">
        <f t="shared" si="4"/>
        <v>0</v>
      </c>
      <c r="J102" s="38">
        <f t="shared" si="5"/>
        <v>0</v>
      </c>
      <c r="K102" s="39">
        <f t="shared" si="6"/>
        <v>0</v>
      </c>
      <c r="L102" s="37">
        <v>0.0</v>
      </c>
      <c r="M102" s="39">
        <f t="shared" si="7"/>
        <v>0</v>
      </c>
      <c r="N102" s="37">
        <v>8.0</v>
      </c>
      <c r="O102" s="39">
        <f t="shared" si="8"/>
        <v>100</v>
      </c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6" t="s">
        <v>712</v>
      </c>
      <c r="B103" s="36" t="s">
        <v>810</v>
      </c>
      <c r="C103" s="37">
        <v>38.0</v>
      </c>
      <c r="D103" s="38">
        <f t="shared" si="9"/>
        <v>0</v>
      </c>
      <c r="E103" s="39">
        <f t="shared" si="2"/>
        <v>0</v>
      </c>
      <c r="F103" s="37">
        <v>0.0</v>
      </c>
      <c r="G103" s="39">
        <f t="shared" si="3"/>
        <v>0</v>
      </c>
      <c r="H103" s="37">
        <v>0.0</v>
      </c>
      <c r="I103" s="39">
        <f t="shared" si="4"/>
        <v>0</v>
      </c>
      <c r="J103" s="38">
        <f t="shared" si="5"/>
        <v>0</v>
      </c>
      <c r="K103" s="39">
        <f t="shared" si="6"/>
        <v>0</v>
      </c>
      <c r="L103" s="37">
        <v>0.0</v>
      </c>
      <c r="M103" s="39">
        <f t="shared" si="7"/>
        <v>0</v>
      </c>
      <c r="N103" s="37">
        <v>38.0</v>
      </c>
      <c r="O103" s="39">
        <f t="shared" si="8"/>
        <v>100</v>
      </c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6" t="s">
        <v>726</v>
      </c>
      <c r="B104" s="36" t="s">
        <v>811</v>
      </c>
      <c r="C104" s="37">
        <v>108.0</v>
      </c>
      <c r="D104" s="38">
        <f t="shared" si="9"/>
        <v>0</v>
      </c>
      <c r="E104" s="39">
        <f t="shared" si="2"/>
        <v>0</v>
      </c>
      <c r="F104" s="37">
        <v>0.0</v>
      </c>
      <c r="G104" s="39">
        <f t="shared" si="3"/>
        <v>0</v>
      </c>
      <c r="H104" s="37">
        <v>0.0</v>
      </c>
      <c r="I104" s="39">
        <f t="shared" si="4"/>
        <v>0</v>
      </c>
      <c r="J104" s="38">
        <f t="shared" si="5"/>
        <v>0</v>
      </c>
      <c r="K104" s="39">
        <f t="shared" si="6"/>
        <v>0</v>
      </c>
      <c r="L104" s="37">
        <v>0.0</v>
      </c>
      <c r="M104" s="39">
        <f t="shared" si="7"/>
        <v>0</v>
      </c>
      <c r="N104" s="37">
        <v>108.0</v>
      </c>
      <c r="O104" s="39">
        <f t="shared" si="8"/>
        <v>100</v>
      </c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6" t="s">
        <v>812</v>
      </c>
      <c r="B105" s="36" t="s">
        <v>812</v>
      </c>
      <c r="C105" s="37">
        <v>317.0</v>
      </c>
      <c r="D105" s="38">
        <f t="shared" si="9"/>
        <v>0</v>
      </c>
      <c r="E105" s="39">
        <f t="shared" si="2"/>
        <v>0</v>
      </c>
      <c r="F105" s="37">
        <v>0.0</v>
      </c>
      <c r="G105" s="39">
        <f t="shared" si="3"/>
        <v>0</v>
      </c>
      <c r="H105" s="37">
        <v>0.0</v>
      </c>
      <c r="I105" s="39">
        <f t="shared" si="4"/>
        <v>0</v>
      </c>
      <c r="J105" s="38">
        <f t="shared" si="5"/>
        <v>0</v>
      </c>
      <c r="K105" s="39">
        <f t="shared" si="6"/>
        <v>0</v>
      </c>
      <c r="L105" s="37">
        <v>0.0</v>
      </c>
      <c r="M105" s="39">
        <f t="shared" si="7"/>
        <v>0</v>
      </c>
      <c r="N105" s="37">
        <v>317.0</v>
      </c>
      <c r="O105" s="39">
        <f t="shared" si="8"/>
        <v>100</v>
      </c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6" t="s">
        <v>800</v>
      </c>
      <c r="B106" s="36" t="s">
        <v>813</v>
      </c>
      <c r="C106" s="37">
        <v>96.0</v>
      </c>
      <c r="D106" s="38">
        <f t="shared" si="9"/>
        <v>0</v>
      </c>
      <c r="E106" s="39">
        <f t="shared" si="2"/>
        <v>0</v>
      </c>
      <c r="F106" s="37">
        <v>0.0</v>
      </c>
      <c r="G106" s="39">
        <f t="shared" si="3"/>
        <v>0</v>
      </c>
      <c r="H106" s="37">
        <v>0.0</v>
      </c>
      <c r="I106" s="39">
        <f t="shared" si="4"/>
        <v>0</v>
      </c>
      <c r="J106" s="38">
        <f t="shared" si="5"/>
        <v>0</v>
      </c>
      <c r="K106" s="39">
        <f t="shared" si="6"/>
        <v>0</v>
      </c>
      <c r="L106" s="37">
        <v>0.0</v>
      </c>
      <c r="M106" s="39">
        <f t="shared" si="7"/>
        <v>0</v>
      </c>
      <c r="N106" s="37">
        <v>96.0</v>
      </c>
      <c r="O106" s="39">
        <f t="shared" si="8"/>
        <v>100</v>
      </c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6" t="s">
        <v>814</v>
      </c>
      <c r="B107" s="36" t="s">
        <v>814</v>
      </c>
      <c r="C107" s="37">
        <v>93.0</v>
      </c>
      <c r="D107" s="38">
        <f t="shared" si="9"/>
        <v>0</v>
      </c>
      <c r="E107" s="39">
        <f t="shared" si="2"/>
        <v>0</v>
      </c>
      <c r="F107" s="37">
        <v>0.0</v>
      </c>
      <c r="G107" s="39">
        <f t="shared" si="3"/>
        <v>0</v>
      </c>
      <c r="H107" s="37">
        <v>0.0</v>
      </c>
      <c r="I107" s="39">
        <f t="shared" si="4"/>
        <v>0</v>
      </c>
      <c r="J107" s="38">
        <f t="shared" si="5"/>
        <v>0</v>
      </c>
      <c r="K107" s="39">
        <f t="shared" si="6"/>
        <v>0</v>
      </c>
      <c r="L107" s="37">
        <v>0.0</v>
      </c>
      <c r="M107" s="39">
        <f t="shared" si="7"/>
        <v>0</v>
      </c>
      <c r="N107" s="37">
        <v>93.0</v>
      </c>
      <c r="O107" s="39">
        <f t="shared" si="8"/>
        <v>100</v>
      </c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6" t="s">
        <v>800</v>
      </c>
      <c r="B108" s="36" t="s">
        <v>815</v>
      </c>
      <c r="C108" s="37">
        <v>54.0</v>
      </c>
      <c r="D108" s="38">
        <f t="shared" si="9"/>
        <v>0</v>
      </c>
      <c r="E108" s="39">
        <f t="shared" si="2"/>
        <v>0</v>
      </c>
      <c r="F108" s="37">
        <v>0.0</v>
      </c>
      <c r="G108" s="39">
        <f t="shared" si="3"/>
        <v>0</v>
      </c>
      <c r="H108" s="37">
        <v>0.0</v>
      </c>
      <c r="I108" s="39">
        <f t="shared" si="4"/>
        <v>0</v>
      </c>
      <c r="J108" s="38">
        <f t="shared" si="5"/>
        <v>0</v>
      </c>
      <c r="K108" s="39">
        <f t="shared" si="6"/>
        <v>0</v>
      </c>
      <c r="L108" s="37">
        <v>0.0</v>
      </c>
      <c r="M108" s="39">
        <f t="shared" si="7"/>
        <v>0</v>
      </c>
      <c r="N108" s="37">
        <v>54.0</v>
      </c>
      <c r="O108" s="39">
        <f t="shared" si="8"/>
        <v>100</v>
      </c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6" t="s">
        <v>726</v>
      </c>
      <c r="B109" s="36" t="s">
        <v>816</v>
      </c>
      <c r="C109" s="37">
        <v>282.0</v>
      </c>
      <c r="D109" s="38">
        <f t="shared" si="9"/>
        <v>0</v>
      </c>
      <c r="E109" s="39">
        <f t="shared" si="2"/>
        <v>0</v>
      </c>
      <c r="F109" s="37">
        <v>0.0</v>
      </c>
      <c r="G109" s="39">
        <f t="shared" si="3"/>
        <v>0</v>
      </c>
      <c r="H109" s="37">
        <v>0.0</v>
      </c>
      <c r="I109" s="39">
        <f t="shared" si="4"/>
        <v>0</v>
      </c>
      <c r="J109" s="38">
        <f t="shared" si="5"/>
        <v>0</v>
      </c>
      <c r="K109" s="39">
        <f t="shared" si="6"/>
        <v>0</v>
      </c>
      <c r="L109" s="37">
        <v>0.0</v>
      </c>
      <c r="M109" s="39">
        <f t="shared" si="7"/>
        <v>0</v>
      </c>
      <c r="N109" s="37">
        <v>282.0</v>
      </c>
      <c r="O109" s="39">
        <f t="shared" si="8"/>
        <v>100</v>
      </c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6" t="s">
        <v>712</v>
      </c>
      <c r="B110" s="36" t="s">
        <v>817</v>
      </c>
      <c r="C110" s="37">
        <v>54.0</v>
      </c>
      <c r="D110" s="38">
        <f t="shared" si="9"/>
        <v>0</v>
      </c>
      <c r="E110" s="39">
        <f t="shared" si="2"/>
        <v>0</v>
      </c>
      <c r="F110" s="37">
        <v>0.0</v>
      </c>
      <c r="G110" s="39">
        <f t="shared" si="3"/>
        <v>0</v>
      </c>
      <c r="H110" s="37">
        <v>0.0</v>
      </c>
      <c r="I110" s="39">
        <f t="shared" si="4"/>
        <v>0</v>
      </c>
      <c r="J110" s="38">
        <f t="shared" si="5"/>
        <v>0</v>
      </c>
      <c r="K110" s="39">
        <f t="shared" si="6"/>
        <v>0</v>
      </c>
      <c r="L110" s="37">
        <v>0.0</v>
      </c>
      <c r="M110" s="39">
        <f t="shared" si="7"/>
        <v>0</v>
      </c>
      <c r="N110" s="37">
        <v>54.0</v>
      </c>
      <c r="O110" s="39">
        <f t="shared" si="8"/>
        <v>100</v>
      </c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6" t="s">
        <v>800</v>
      </c>
      <c r="B111" s="36" t="s">
        <v>818</v>
      </c>
      <c r="C111" s="37">
        <v>77.0</v>
      </c>
      <c r="D111" s="38">
        <f t="shared" si="9"/>
        <v>0</v>
      </c>
      <c r="E111" s="39">
        <f t="shared" si="2"/>
        <v>0</v>
      </c>
      <c r="F111" s="37">
        <v>0.0</v>
      </c>
      <c r="G111" s="39">
        <f t="shared" si="3"/>
        <v>0</v>
      </c>
      <c r="H111" s="37">
        <v>0.0</v>
      </c>
      <c r="I111" s="39">
        <f t="shared" si="4"/>
        <v>0</v>
      </c>
      <c r="J111" s="38">
        <f t="shared" si="5"/>
        <v>0</v>
      </c>
      <c r="K111" s="39">
        <f t="shared" si="6"/>
        <v>0</v>
      </c>
      <c r="L111" s="37">
        <v>0.0</v>
      </c>
      <c r="M111" s="39">
        <f t="shared" si="7"/>
        <v>0</v>
      </c>
      <c r="N111" s="37">
        <v>77.0</v>
      </c>
      <c r="O111" s="39">
        <f t="shared" si="8"/>
        <v>100</v>
      </c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6" t="s">
        <v>819</v>
      </c>
      <c r="B112" s="36" t="s">
        <v>819</v>
      </c>
      <c r="C112" s="37">
        <v>60.0</v>
      </c>
      <c r="D112" s="38">
        <f t="shared" si="9"/>
        <v>0</v>
      </c>
      <c r="E112" s="39">
        <f t="shared" si="2"/>
        <v>0</v>
      </c>
      <c r="F112" s="37">
        <v>0.0</v>
      </c>
      <c r="G112" s="39">
        <f t="shared" si="3"/>
        <v>0</v>
      </c>
      <c r="H112" s="37">
        <v>0.0</v>
      </c>
      <c r="I112" s="39">
        <f t="shared" si="4"/>
        <v>0</v>
      </c>
      <c r="J112" s="38">
        <f t="shared" si="5"/>
        <v>0</v>
      </c>
      <c r="K112" s="39">
        <f t="shared" si="6"/>
        <v>0</v>
      </c>
      <c r="L112" s="37">
        <v>0.0</v>
      </c>
      <c r="M112" s="39">
        <f t="shared" si="7"/>
        <v>0</v>
      </c>
      <c r="N112" s="37">
        <v>60.0</v>
      </c>
      <c r="O112" s="39">
        <f t="shared" si="8"/>
        <v>100</v>
      </c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6" t="s">
        <v>820</v>
      </c>
      <c r="B113" s="36" t="s">
        <v>820</v>
      </c>
      <c r="C113" s="37">
        <v>184.0</v>
      </c>
      <c r="D113" s="38">
        <f t="shared" si="9"/>
        <v>0</v>
      </c>
      <c r="E113" s="39">
        <f t="shared" si="2"/>
        <v>0</v>
      </c>
      <c r="F113" s="37">
        <v>0.0</v>
      </c>
      <c r="G113" s="39">
        <f t="shared" si="3"/>
        <v>0</v>
      </c>
      <c r="H113" s="37">
        <v>0.0</v>
      </c>
      <c r="I113" s="39">
        <f t="shared" si="4"/>
        <v>0</v>
      </c>
      <c r="J113" s="38">
        <f t="shared" si="5"/>
        <v>0</v>
      </c>
      <c r="K113" s="39">
        <f t="shared" si="6"/>
        <v>0</v>
      </c>
      <c r="L113" s="37">
        <v>0.0</v>
      </c>
      <c r="M113" s="39">
        <f t="shared" si="7"/>
        <v>0</v>
      </c>
      <c r="N113" s="37">
        <v>184.0</v>
      </c>
      <c r="O113" s="39">
        <f t="shared" si="8"/>
        <v>100</v>
      </c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6" t="s">
        <v>712</v>
      </c>
      <c r="B114" s="36" t="s">
        <v>821</v>
      </c>
      <c r="C114" s="37">
        <v>601.0</v>
      </c>
      <c r="D114" s="38">
        <f t="shared" si="9"/>
        <v>0</v>
      </c>
      <c r="E114" s="39">
        <f t="shared" si="2"/>
        <v>0</v>
      </c>
      <c r="F114" s="37">
        <v>0.0</v>
      </c>
      <c r="G114" s="39">
        <f t="shared" si="3"/>
        <v>0</v>
      </c>
      <c r="H114" s="37">
        <v>0.0</v>
      </c>
      <c r="I114" s="39">
        <f t="shared" si="4"/>
        <v>0</v>
      </c>
      <c r="J114" s="38">
        <f t="shared" si="5"/>
        <v>0</v>
      </c>
      <c r="K114" s="39">
        <f t="shared" si="6"/>
        <v>0</v>
      </c>
      <c r="L114" s="37">
        <v>0.0</v>
      </c>
      <c r="M114" s="39">
        <f t="shared" si="7"/>
        <v>0</v>
      </c>
      <c r="N114" s="37">
        <v>601.0</v>
      </c>
      <c r="O114" s="39">
        <f t="shared" si="8"/>
        <v>100</v>
      </c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6" t="s">
        <v>712</v>
      </c>
      <c r="B115" s="36" t="s">
        <v>822</v>
      </c>
      <c r="C115" s="37">
        <v>289.0</v>
      </c>
      <c r="D115" s="38">
        <f t="shared" si="9"/>
        <v>0</v>
      </c>
      <c r="E115" s="39">
        <f t="shared" si="2"/>
        <v>0</v>
      </c>
      <c r="F115" s="37">
        <v>0.0</v>
      </c>
      <c r="G115" s="39">
        <f t="shared" si="3"/>
        <v>0</v>
      </c>
      <c r="H115" s="37">
        <v>0.0</v>
      </c>
      <c r="I115" s="39">
        <f t="shared" si="4"/>
        <v>0</v>
      </c>
      <c r="J115" s="38">
        <f t="shared" si="5"/>
        <v>0</v>
      </c>
      <c r="K115" s="39">
        <f t="shared" si="6"/>
        <v>0</v>
      </c>
      <c r="L115" s="37">
        <v>0.0</v>
      </c>
      <c r="M115" s="39">
        <f t="shared" si="7"/>
        <v>0</v>
      </c>
      <c r="N115" s="37">
        <v>289.0</v>
      </c>
      <c r="O115" s="39">
        <f t="shared" si="8"/>
        <v>100</v>
      </c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6" t="s">
        <v>726</v>
      </c>
      <c r="B116" s="36" t="s">
        <v>823</v>
      </c>
      <c r="C116" s="37">
        <v>18.0</v>
      </c>
      <c r="D116" s="38">
        <f t="shared" si="9"/>
        <v>0</v>
      </c>
      <c r="E116" s="39">
        <f t="shared" si="2"/>
        <v>0</v>
      </c>
      <c r="F116" s="37">
        <v>0.0</v>
      </c>
      <c r="G116" s="39">
        <f t="shared" si="3"/>
        <v>0</v>
      </c>
      <c r="H116" s="37">
        <v>0.0</v>
      </c>
      <c r="I116" s="39">
        <f t="shared" si="4"/>
        <v>0</v>
      </c>
      <c r="J116" s="38">
        <f t="shared" si="5"/>
        <v>0</v>
      </c>
      <c r="K116" s="39">
        <f t="shared" si="6"/>
        <v>0</v>
      </c>
      <c r="L116" s="37">
        <v>0.0</v>
      </c>
      <c r="M116" s="39">
        <f t="shared" si="7"/>
        <v>0</v>
      </c>
      <c r="N116" s="37">
        <v>18.0</v>
      </c>
      <c r="O116" s="39">
        <f t="shared" si="8"/>
        <v>100</v>
      </c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6" t="s">
        <v>780</v>
      </c>
      <c r="B117" s="36" t="s">
        <v>824</v>
      </c>
      <c r="C117" s="37">
        <v>20.0</v>
      </c>
      <c r="D117" s="38">
        <f t="shared" si="9"/>
        <v>0</v>
      </c>
      <c r="E117" s="39">
        <f t="shared" si="2"/>
        <v>0</v>
      </c>
      <c r="F117" s="37">
        <v>0.0</v>
      </c>
      <c r="G117" s="39">
        <f t="shared" si="3"/>
        <v>0</v>
      </c>
      <c r="H117" s="37">
        <v>0.0</v>
      </c>
      <c r="I117" s="39">
        <f t="shared" si="4"/>
        <v>0</v>
      </c>
      <c r="J117" s="38">
        <f t="shared" si="5"/>
        <v>0</v>
      </c>
      <c r="K117" s="39">
        <f t="shared" si="6"/>
        <v>0</v>
      </c>
      <c r="L117" s="37">
        <v>0.0</v>
      </c>
      <c r="M117" s="39">
        <f t="shared" si="7"/>
        <v>0</v>
      </c>
      <c r="N117" s="37">
        <v>20.0</v>
      </c>
      <c r="O117" s="39">
        <f t="shared" si="8"/>
        <v>100</v>
      </c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6" t="s">
        <v>825</v>
      </c>
      <c r="B118" s="36" t="s">
        <v>825</v>
      </c>
      <c r="C118" s="37">
        <v>126.0</v>
      </c>
      <c r="D118" s="38">
        <f t="shared" si="9"/>
        <v>0</v>
      </c>
      <c r="E118" s="39">
        <f t="shared" si="2"/>
        <v>0</v>
      </c>
      <c r="F118" s="37">
        <v>0.0</v>
      </c>
      <c r="G118" s="39">
        <f t="shared" si="3"/>
        <v>0</v>
      </c>
      <c r="H118" s="37">
        <v>0.0</v>
      </c>
      <c r="I118" s="39">
        <f t="shared" si="4"/>
        <v>0</v>
      </c>
      <c r="J118" s="38">
        <f t="shared" si="5"/>
        <v>0</v>
      </c>
      <c r="K118" s="39">
        <f t="shared" si="6"/>
        <v>0</v>
      </c>
      <c r="L118" s="37">
        <v>0.0</v>
      </c>
      <c r="M118" s="39">
        <f t="shared" si="7"/>
        <v>0</v>
      </c>
      <c r="N118" s="37">
        <v>126.0</v>
      </c>
      <c r="O118" s="39">
        <f t="shared" si="8"/>
        <v>100</v>
      </c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6" t="s">
        <v>826</v>
      </c>
      <c r="B119" s="36" t="s">
        <v>826</v>
      </c>
      <c r="C119" s="37">
        <v>111.0</v>
      </c>
      <c r="D119" s="38">
        <f t="shared" si="9"/>
        <v>0</v>
      </c>
      <c r="E119" s="39">
        <f t="shared" si="2"/>
        <v>0</v>
      </c>
      <c r="F119" s="37">
        <v>0.0</v>
      </c>
      <c r="G119" s="39">
        <f t="shared" si="3"/>
        <v>0</v>
      </c>
      <c r="H119" s="37">
        <v>0.0</v>
      </c>
      <c r="I119" s="39">
        <f t="shared" si="4"/>
        <v>0</v>
      </c>
      <c r="J119" s="38">
        <f t="shared" si="5"/>
        <v>0</v>
      </c>
      <c r="K119" s="39">
        <f t="shared" si="6"/>
        <v>0</v>
      </c>
      <c r="L119" s="37">
        <v>0.0</v>
      </c>
      <c r="M119" s="39">
        <f t="shared" si="7"/>
        <v>0</v>
      </c>
      <c r="N119" s="37">
        <v>111.0</v>
      </c>
      <c r="O119" s="39">
        <f t="shared" si="8"/>
        <v>100</v>
      </c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6" t="s">
        <v>827</v>
      </c>
      <c r="B120" s="36" t="s">
        <v>827</v>
      </c>
      <c r="C120" s="37">
        <v>172.0</v>
      </c>
      <c r="D120" s="38">
        <f t="shared" si="9"/>
        <v>0</v>
      </c>
      <c r="E120" s="39">
        <f t="shared" si="2"/>
        <v>0</v>
      </c>
      <c r="F120" s="37">
        <v>0.0</v>
      </c>
      <c r="G120" s="39">
        <f t="shared" si="3"/>
        <v>0</v>
      </c>
      <c r="H120" s="37">
        <v>0.0</v>
      </c>
      <c r="I120" s="39">
        <f t="shared" si="4"/>
        <v>0</v>
      </c>
      <c r="J120" s="38">
        <f t="shared" si="5"/>
        <v>0</v>
      </c>
      <c r="K120" s="39">
        <f t="shared" si="6"/>
        <v>0</v>
      </c>
      <c r="L120" s="37">
        <v>0.0</v>
      </c>
      <c r="M120" s="39">
        <f t="shared" si="7"/>
        <v>0</v>
      </c>
      <c r="N120" s="37">
        <v>172.0</v>
      </c>
      <c r="O120" s="39">
        <f t="shared" si="8"/>
        <v>100</v>
      </c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6" t="s">
        <v>712</v>
      </c>
      <c r="B121" s="36" t="s">
        <v>828</v>
      </c>
      <c r="C121" s="37">
        <v>34.0</v>
      </c>
      <c r="D121" s="38">
        <f t="shared" si="9"/>
        <v>0</v>
      </c>
      <c r="E121" s="39">
        <f t="shared" si="2"/>
        <v>0</v>
      </c>
      <c r="F121" s="37">
        <v>0.0</v>
      </c>
      <c r="G121" s="39">
        <f t="shared" si="3"/>
        <v>0</v>
      </c>
      <c r="H121" s="37">
        <v>0.0</v>
      </c>
      <c r="I121" s="39">
        <f t="shared" si="4"/>
        <v>0</v>
      </c>
      <c r="J121" s="38">
        <f t="shared" si="5"/>
        <v>0</v>
      </c>
      <c r="K121" s="39">
        <f t="shared" si="6"/>
        <v>0</v>
      </c>
      <c r="L121" s="37">
        <v>0.0</v>
      </c>
      <c r="M121" s="39">
        <f t="shared" si="7"/>
        <v>0</v>
      </c>
      <c r="N121" s="37">
        <v>34.0</v>
      </c>
      <c r="O121" s="39">
        <f t="shared" si="8"/>
        <v>100</v>
      </c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6" t="s">
        <v>800</v>
      </c>
      <c r="B122" s="36" t="s">
        <v>829</v>
      </c>
      <c r="C122" s="37">
        <v>13.0</v>
      </c>
      <c r="D122" s="38">
        <f t="shared" si="9"/>
        <v>0</v>
      </c>
      <c r="E122" s="39">
        <f t="shared" si="2"/>
        <v>0</v>
      </c>
      <c r="F122" s="37">
        <v>0.0</v>
      </c>
      <c r="G122" s="39">
        <f t="shared" si="3"/>
        <v>0</v>
      </c>
      <c r="H122" s="37">
        <v>0.0</v>
      </c>
      <c r="I122" s="39">
        <f t="shared" si="4"/>
        <v>0</v>
      </c>
      <c r="J122" s="38">
        <f t="shared" si="5"/>
        <v>0</v>
      </c>
      <c r="K122" s="39">
        <f t="shared" si="6"/>
        <v>0</v>
      </c>
      <c r="L122" s="37">
        <v>0.0</v>
      </c>
      <c r="M122" s="39">
        <f t="shared" si="7"/>
        <v>0</v>
      </c>
      <c r="N122" s="37">
        <v>13.0</v>
      </c>
      <c r="O122" s="39">
        <f t="shared" si="8"/>
        <v>100</v>
      </c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6" t="s">
        <v>800</v>
      </c>
      <c r="B123" s="36" t="s">
        <v>830</v>
      </c>
      <c r="C123" s="37">
        <v>13.0</v>
      </c>
      <c r="D123" s="38">
        <f t="shared" si="9"/>
        <v>0</v>
      </c>
      <c r="E123" s="39">
        <f t="shared" si="2"/>
        <v>0</v>
      </c>
      <c r="F123" s="37">
        <v>0.0</v>
      </c>
      <c r="G123" s="39">
        <f t="shared" si="3"/>
        <v>0</v>
      </c>
      <c r="H123" s="37">
        <v>0.0</v>
      </c>
      <c r="I123" s="39">
        <f t="shared" si="4"/>
        <v>0</v>
      </c>
      <c r="J123" s="38">
        <f t="shared" si="5"/>
        <v>0</v>
      </c>
      <c r="K123" s="39">
        <f t="shared" si="6"/>
        <v>0</v>
      </c>
      <c r="L123" s="37">
        <v>0.0</v>
      </c>
      <c r="M123" s="39">
        <f t="shared" si="7"/>
        <v>0</v>
      </c>
      <c r="N123" s="37">
        <v>13.0</v>
      </c>
      <c r="O123" s="39">
        <f t="shared" si="8"/>
        <v>100</v>
      </c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6" t="s">
        <v>831</v>
      </c>
      <c r="B124" s="36" t="s">
        <v>831</v>
      </c>
      <c r="C124" s="37">
        <v>89.0</v>
      </c>
      <c r="D124" s="38">
        <f t="shared" si="9"/>
        <v>0</v>
      </c>
      <c r="E124" s="39">
        <f t="shared" si="2"/>
        <v>0</v>
      </c>
      <c r="F124" s="37">
        <v>0.0</v>
      </c>
      <c r="G124" s="39">
        <f t="shared" si="3"/>
        <v>0</v>
      </c>
      <c r="H124" s="37">
        <v>0.0</v>
      </c>
      <c r="I124" s="39">
        <f t="shared" si="4"/>
        <v>0</v>
      </c>
      <c r="J124" s="38">
        <f t="shared" si="5"/>
        <v>0</v>
      </c>
      <c r="K124" s="39">
        <f t="shared" si="6"/>
        <v>0</v>
      </c>
      <c r="L124" s="37">
        <v>0.0</v>
      </c>
      <c r="M124" s="39">
        <f t="shared" si="7"/>
        <v>0</v>
      </c>
      <c r="N124" s="37">
        <v>89.0</v>
      </c>
      <c r="O124" s="39">
        <f t="shared" si="8"/>
        <v>100</v>
      </c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6" t="s">
        <v>832</v>
      </c>
      <c r="B125" s="36" t="s">
        <v>832</v>
      </c>
      <c r="C125" s="37">
        <v>1566.0</v>
      </c>
      <c r="D125" s="38">
        <f t="shared" si="9"/>
        <v>0</v>
      </c>
      <c r="E125" s="39">
        <f t="shared" si="2"/>
        <v>0</v>
      </c>
      <c r="F125" s="37">
        <v>0.0</v>
      </c>
      <c r="G125" s="39">
        <f t="shared" si="3"/>
        <v>0</v>
      </c>
      <c r="H125" s="37">
        <v>0.0</v>
      </c>
      <c r="I125" s="39">
        <f t="shared" si="4"/>
        <v>0</v>
      </c>
      <c r="J125" s="38">
        <f t="shared" si="5"/>
        <v>0</v>
      </c>
      <c r="K125" s="39">
        <f t="shared" si="6"/>
        <v>0</v>
      </c>
      <c r="L125" s="37">
        <v>0.0</v>
      </c>
      <c r="M125" s="39">
        <f t="shared" si="7"/>
        <v>0</v>
      </c>
      <c r="N125" s="37">
        <v>1566.0</v>
      </c>
      <c r="O125" s="39">
        <f t="shared" si="8"/>
        <v>100</v>
      </c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6" t="s">
        <v>833</v>
      </c>
      <c r="B126" s="36" t="s">
        <v>833</v>
      </c>
      <c r="C126" s="37">
        <v>11.0</v>
      </c>
      <c r="D126" s="38">
        <f t="shared" si="9"/>
        <v>0</v>
      </c>
      <c r="E126" s="39">
        <f t="shared" si="2"/>
        <v>0</v>
      </c>
      <c r="F126" s="37">
        <v>0.0</v>
      </c>
      <c r="G126" s="39">
        <f t="shared" si="3"/>
        <v>0</v>
      </c>
      <c r="H126" s="37">
        <v>0.0</v>
      </c>
      <c r="I126" s="39">
        <f t="shared" si="4"/>
        <v>0</v>
      </c>
      <c r="J126" s="38">
        <f t="shared" si="5"/>
        <v>0</v>
      </c>
      <c r="K126" s="39">
        <f t="shared" si="6"/>
        <v>0</v>
      </c>
      <c r="L126" s="37">
        <v>0.0</v>
      </c>
      <c r="M126" s="39">
        <f t="shared" si="7"/>
        <v>0</v>
      </c>
      <c r="N126" s="37">
        <v>11.0</v>
      </c>
      <c r="O126" s="39">
        <f t="shared" si="8"/>
        <v>100</v>
      </c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6" t="s">
        <v>722</v>
      </c>
      <c r="B127" s="36" t="s">
        <v>834</v>
      </c>
      <c r="C127" s="37">
        <v>33.0</v>
      </c>
      <c r="D127" s="38">
        <f t="shared" si="9"/>
        <v>0</v>
      </c>
      <c r="E127" s="39">
        <f t="shared" si="2"/>
        <v>0</v>
      </c>
      <c r="F127" s="37">
        <v>0.0</v>
      </c>
      <c r="G127" s="39">
        <f t="shared" si="3"/>
        <v>0</v>
      </c>
      <c r="H127" s="37">
        <v>0.0</v>
      </c>
      <c r="I127" s="39">
        <f t="shared" si="4"/>
        <v>0</v>
      </c>
      <c r="J127" s="38">
        <f t="shared" si="5"/>
        <v>0</v>
      </c>
      <c r="K127" s="39">
        <f t="shared" si="6"/>
        <v>0</v>
      </c>
      <c r="L127" s="37">
        <v>0.0</v>
      </c>
      <c r="M127" s="39">
        <f t="shared" si="7"/>
        <v>0</v>
      </c>
      <c r="N127" s="37">
        <v>33.0</v>
      </c>
      <c r="O127" s="39">
        <f t="shared" si="8"/>
        <v>100</v>
      </c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6" t="s">
        <v>722</v>
      </c>
      <c r="B128" s="36" t="s">
        <v>835</v>
      </c>
      <c r="C128" s="37">
        <v>6.0</v>
      </c>
      <c r="D128" s="38">
        <f t="shared" si="9"/>
        <v>0</v>
      </c>
      <c r="E128" s="39">
        <f t="shared" si="2"/>
        <v>0</v>
      </c>
      <c r="F128" s="37">
        <v>0.0</v>
      </c>
      <c r="G128" s="39">
        <f t="shared" si="3"/>
        <v>0</v>
      </c>
      <c r="H128" s="37">
        <v>0.0</v>
      </c>
      <c r="I128" s="39">
        <f t="shared" si="4"/>
        <v>0</v>
      </c>
      <c r="J128" s="38">
        <f t="shared" si="5"/>
        <v>0</v>
      </c>
      <c r="K128" s="39">
        <f t="shared" si="6"/>
        <v>0</v>
      </c>
      <c r="L128" s="37">
        <v>0.0</v>
      </c>
      <c r="M128" s="39">
        <f t="shared" si="7"/>
        <v>0</v>
      </c>
      <c r="N128" s="37">
        <v>6.0</v>
      </c>
      <c r="O128" s="39">
        <f t="shared" si="8"/>
        <v>100</v>
      </c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6" t="s">
        <v>802</v>
      </c>
      <c r="B129" s="36" t="s">
        <v>836</v>
      </c>
      <c r="C129" s="37">
        <v>14.0</v>
      </c>
      <c r="D129" s="38">
        <f t="shared" si="9"/>
        <v>0</v>
      </c>
      <c r="E129" s="39">
        <f t="shared" si="2"/>
        <v>0</v>
      </c>
      <c r="F129" s="37">
        <v>0.0</v>
      </c>
      <c r="G129" s="39">
        <f t="shared" si="3"/>
        <v>0</v>
      </c>
      <c r="H129" s="37">
        <v>0.0</v>
      </c>
      <c r="I129" s="39">
        <f t="shared" si="4"/>
        <v>0</v>
      </c>
      <c r="J129" s="38">
        <f t="shared" si="5"/>
        <v>12</v>
      </c>
      <c r="K129" s="39">
        <f t="shared" si="6"/>
        <v>85.71428571</v>
      </c>
      <c r="L129" s="37">
        <v>12.0</v>
      </c>
      <c r="M129" s="39">
        <f t="shared" si="7"/>
        <v>85.71428571</v>
      </c>
      <c r="N129" s="37">
        <v>2.0</v>
      </c>
      <c r="O129" s="39">
        <f t="shared" si="8"/>
        <v>14.28571429</v>
      </c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6" t="s">
        <v>837</v>
      </c>
      <c r="B130" s="36" t="s">
        <v>837</v>
      </c>
      <c r="C130" s="37">
        <v>36.0</v>
      </c>
      <c r="D130" s="38">
        <f t="shared" si="9"/>
        <v>0</v>
      </c>
      <c r="E130" s="39">
        <f t="shared" si="2"/>
        <v>0</v>
      </c>
      <c r="F130" s="37">
        <v>0.0</v>
      </c>
      <c r="G130" s="39">
        <f t="shared" si="3"/>
        <v>0</v>
      </c>
      <c r="H130" s="37">
        <v>0.0</v>
      </c>
      <c r="I130" s="39">
        <f t="shared" si="4"/>
        <v>0</v>
      </c>
      <c r="J130" s="38">
        <f t="shared" si="5"/>
        <v>36</v>
      </c>
      <c r="K130" s="39">
        <f t="shared" si="6"/>
        <v>100</v>
      </c>
      <c r="L130" s="37">
        <v>36.0</v>
      </c>
      <c r="M130" s="39">
        <f t="shared" si="7"/>
        <v>100</v>
      </c>
      <c r="N130" s="37">
        <v>0.0</v>
      </c>
      <c r="O130" s="39">
        <f t="shared" si="8"/>
        <v>0</v>
      </c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6" t="s">
        <v>762</v>
      </c>
      <c r="B131" s="36" t="s">
        <v>838</v>
      </c>
      <c r="C131" s="37">
        <v>14.0</v>
      </c>
      <c r="D131" s="38">
        <f t="shared" si="9"/>
        <v>0</v>
      </c>
      <c r="E131" s="39">
        <f t="shared" si="2"/>
        <v>0</v>
      </c>
      <c r="F131" s="37">
        <v>0.0</v>
      </c>
      <c r="G131" s="39">
        <f t="shared" si="3"/>
        <v>0</v>
      </c>
      <c r="H131" s="37">
        <v>0.0</v>
      </c>
      <c r="I131" s="39">
        <f t="shared" si="4"/>
        <v>0</v>
      </c>
      <c r="J131" s="38">
        <f t="shared" si="5"/>
        <v>0</v>
      </c>
      <c r="K131" s="39">
        <f t="shared" si="6"/>
        <v>0</v>
      </c>
      <c r="L131" s="37">
        <v>0.0</v>
      </c>
      <c r="M131" s="39">
        <f t="shared" si="7"/>
        <v>0</v>
      </c>
      <c r="N131" s="37">
        <v>14.0</v>
      </c>
      <c r="O131" s="39">
        <f t="shared" si="8"/>
        <v>100</v>
      </c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6" t="s">
        <v>763</v>
      </c>
      <c r="B132" s="36" t="s">
        <v>763</v>
      </c>
      <c r="C132" s="37">
        <v>1.0</v>
      </c>
      <c r="D132" s="38">
        <f t="shared" si="9"/>
        <v>0</v>
      </c>
      <c r="E132" s="39">
        <f t="shared" si="2"/>
        <v>0</v>
      </c>
      <c r="F132" s="37">
        <v>0.0</v>
      </c>
      <c r="G132" s="39">
        <f t="shared" si="3"/>
        <v>0</v>
      </c>
      <c r="H132" s="37">
        <v>0.0</v>
      </c>
      <c r="I132" s="39">
        <f t="shared" si="4"/>
        <v>0</v>
      </c>
      <c r="J132" s="38">
        <f t="shared" si="5"/>
        <v>0</v>
      </c>
      <c r="K132" s="39">
        <f t="shared" si="6"/>
        <v>0</v>
      </c>
      <c r="L132" s="37">
        <v>0.0</v>
      </c>
      <c r="M132" s="39">
        <f t="shared" si="7"/>
        <v>0</v>
      </c>
      <c r="N132" s="37">
        <v>1.0</v>
      </c>
      <c r="O132" s="39">
        <f t="shared" si="8"/>
        <v>100</v>
      </c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6" t="s">
        <v>735</v>
      </c>
      <c r="B133" s="36" t="s">
        <v>839</v>
      </c>
      <c r="C133" s="37">
        <v>27.0</v>
      </c>
      <c r="D133" s="38">
        <f t="shared" si="9"/>
        <v>0</v>
      </c>
      <c r="E133" s="39">
        <f t="shared" si="2"/>
        <v>0</v>
      </c>
      <c r="F133" s="37">
        <v>0.0</v>
      </c>
      <c r="G133" s="39">
        <f t="shared" si="3"/>
        <v>0</v>
      </c>
      <c r="H133" s="37">
        <v>0.0</v>
      </c>
      <c r="I133" s="39">
        <f t="shared" si="4"/>
        <v>0</v>
      </c>
      <c r="J133" s="38">
        <f t="shared" si="5"/>
        <v>26</v>
      </c>
      <c r="K133" s="39">
        <f t="shared" si="6"/>
        <v>96.2962963</v>
      </c>
      <c r="L133" s="37">
        <v>26.0</v>
      </c>
      <c r="M133" s="39">
        <f t="shared" si="7"/>
        <v>96.2962963</v>
      </c>
      <c r="N133" s="37">
        <v>1.0</v>
      </c>
      <c r="O133" s="39">
        <f t="shared" si="8"/>
        <v>3.703703704</v>
      </c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6" t="s">
        <v>726</v>
      </c>
      <c r="B134" s="36" t="s">
        <v>840</v>
      </c>
      <c r="C134" s="37">
        <v>53.0</v>
      </c>
      <c r="D134" s="38">
        <f t="shared" si="9"/>
        <v>0</v>
      </c>
      <c r="E134" s="39">
        <f t="shared" si="2"/>
        <v>0</v>
      </c>
      <c r="F134" s="37">
        <v>0.0</v>
      </c>
      <c r="G134" s="39">
        <f t="shared" si="3"/>
        <v>0</v>
      </c>
      <c r="H134" s="37">
        <v>0.0</v>
      </c>
      <c r="I134" s="39">
        <f t="shared" si="4"/>
        <v>0</v>
      </c>
      <c r="J134" s="38">
        <f t="shared" si="5"/>
        <v>0</v>
      </c>
      <c r="K134" s="39">
        <f t="shared" si="6"/>
        <v>0</v>
      </c>
      <c r="L134" s="37">
        <v>0.0</v>
      </c>
      <c r="M134" s="39">
        <f t="shared" si="7"/>
        <v>0</v>
      </c>
      <c r="N134" s="37">
        <v>53.0</v>
      </c>
      <c r="O134" s="39">
        <f t="shared" si="8"/>
        <v>100</v>
      </c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6" t="s">
        <v>722</v>
      </c>
      <c r="B135" s="36" t="s">
        <v>841</v>
      </c>
      <c r="C135" s="37">
        <v>27.0</v>
      </c>
      <c r="D135" s="38">
        <f t="shared" si="9"/>
        <v>0</v>
      </c>
      <c r="E135" s="39">
        <f t="shared" si="2"/>
        <v>0</v>
      </c>
      <c r="F135" s="37">
        <v>0.0</v>
      </c>
      <c r="G135" s="39">
        <f t="shared" si="3"/>
        <v>0</v>
      </c>
      <c r="H135" s="37">
        <v>0.0</v>
      </c>
      <c r="I135" s="39">
        <f t="shared" si="4"/>
        <v>0</v>
      </c>
      <c r="J135" s="38">
        <f t="shared" si="5"/>
        <v>0</v>
      </c>
      <c r="K135" s="39">
        <f t="shared" si="6"/>
        <v>0</v>
      </c>
      <c r="L135" s="37">
        <v>0.0</v>
      </c>
      <c r="M135" s="39">
        <f t="shared" si="7"/>
        <v>0</v>
      </c>
      <c r="N135" s="37">
        <v>27.0</v>
      </c>
      <c r="O135" s="39">
        <f t="shared" si="8"/>
        <v>100</v>
      </c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6"/>
      <c r="B136" s="36"/>
      <c r="C136" s="40"/>
      <c r="D136" s="40"/>
      <c r="E136" s="41"/>
      <c r="F136" s="40"/>
      <c r="G136" s="41"/>
      <c r="H136" s="40"/>
      <c r="I136" s="41"/>
      <c r="J136" s="40"/>
      <c r="K136" s="41"/>
      <c r="L136" s="40"/>
      <c r="M136" s="41"/>
      <c r="N136" s="40"/>
      <c r="O136" s="41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6"/>
      <c r="B137" s="36" t="s">
        <v>842</v>
      </c>
      <c r="C137" s="42">
        <f t="shared" ref="C137:D137" si="10">SUM(C2:C135)</f>
        <v>552969</v>
      </c>
      <c r="D137" s="42">
        <f t="shared" si="10"/>
        <v>165922</v>
      </c>
      <c r="E137" s="40"/>
      <c r="F137" s="38">
        <f>SUM(F2:F135)</f>
        <v>128701</v>
      </c>
      <c r="G137" s="41"/>
      <c r="H137" s="38">
        <f>SUM(H2:H135)</f>
        <v>37221</v>
      </c>
      <c r="I137" s="41"/>
      <c r="J137" s="38">
        <f>SUM(J2:J135)</f>
        <v>147284</v>
      </c>
      <c r="K137" s="41"/>
      <c r="L137" s="38">
        <f>SUM(L2:L135)</f>
        <v>110063</v>
      </c>
      <c r="M137" s="41"/>
      <c r="N137" s="38">
        <f>SUM(N2:N135)</f>
        <v>276984</v>
      </c>
      <c r="O137" s="41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17"/>
      <c r="B138" s="17"/>
      <c r="C138" s="43"/>
      <c r="D138" s="43"/>
      <c r="E138" s="44"/>
      <c r="F138" s="43"/>
      <c r="G138" s="44"/>
      <c r="H138" s="43"/>
      <c r="I138" s="44"/>
      <c r="J138" s="43"/>
      <c r="K138" s="44"/>
      <c r="L138" s="43"/>
      <c r="M138" s="44"/>
      <c r="N138" s="43"/>
      <c r="O138" s="44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17"/>
      <c r="B139" s="17"/>
      <c r="C139" s="45"/>
      <c r="D139" s="45"/>
      <c r="E139" s="44"/>
      <c r="F139" s="43"/>
      <c r="G139" s="44"/>
      <c r="H139" s="43"/>
      <c r="I139" s="44"/>
      <c r="J139" s="43"/>
      <c r="K139" s="44"/>
      <c r="L139" s="43"/>
      <c r="M139" s="44"/>
      <c r="N139" s="43"/>
      <c r="O139" s="44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17"/>
      <c r="B140" s="17"/>
      <c r="C140" s="43"/>
      <c r="D140" s="43"/>
      <c r="E140" s="44"/>
      <c r="F140" s="43"/>
      <c r="G140" s="44"/>
      <c r="H140" s="43"/>
      <c r="I140" s="44"/>
      <c r="J140" s="43"/>
      <c r="K140" s="44"/>
      <c r="L140" s="43"/>
      <c r="M140" s="44"/>
      <c r="N140" s="43"/>
      <c r="O140" s="44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17"/>
      <c r="B141" s="17"/>
      <c r="C141" s="43"/>
      <c r="D141" s="43"/>
      <c r="E141" s="44"/>
      <c r="F141" s="43"/>
      <c r="G141" s="44"/>
      <c r="H141" s="43"/>
      <c r="I141" s="44"/>
      <c r="J141" s="43"/>
      <c r="K141" s="44"/>
      <c r="L141" s="43"/>
      <c r="M141" s="44"/>
      <c r="N141" s="43"/>
      <c r="O141" s="44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17"/>
      <c r="B142" s="17"/>
      <c r="C142" s="43"/>
      <c r="D142" s="43"/>
      <c r="E142" s="44"/>
      <c r="F142" s="43"/>
      <c r="G142" s="44"/>
      <c r="H142" s="43"/>
      <c r="I142" s="44"/>
      <c r="J142" s="43"/>
      <c r="K142" s="44"/>
      <c r="L142" s="43"/>
      <c r="M142" s="44"/>
      <c r="N142" s="43"/>
      <c r="O142" s="44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17"/>
      <c r="B143" s="17"/>
      <c r="C143" s="43"/>
      <c r="D143" s="43"/>
      <c r="E143" s="44"/>
      <c r="F143" s="43"/>
      <c r="G143" s="44"/>
      <c r="H143" s="43"/>
      <c r="I143" s="44"/>
      <c r="J143" s="43"/>
      <c r="K143" s="44"/>
      <c r="L143" s="43"/>
      <c r="M143" s="44"/>
      <c r="N143" s="43"/>
      <c r="O143" s="44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17"/>
      <c r="B144" s="17"/>
      <c r="C144" s="43"/>
      <c r="D144" s="43"/>
      <c r="E144" s="44"/>
      <c r="F144" s="43"/>
      <c r="G144" s="44"/>
      <c r="H144" s="43"/>
      <c r="I144" s="44"/>
      <c r="J144" s="43"/>
      <c r="K144" s="44"/>
      <c r="L144" s="43"/>
      <c r="M144" s="44"/>
      <c r="N144" s="43"/>
      <c r="O144" s="44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17"/>
      <c r="B145" s="17"/>
      <c r="C145" s="43"/>
      <c r="D145" s="43"/>
      <c r="E145" s="44"/>
      <c r="F145" s="43"/>
      <c r="G145" s="44"/>
      <c r="H145" s="43"/>
      <c r="I145" s="44"/>
      <c r="J145" s="43"/>
      <c r="K145" s="44"/>
      <c r="L145" s="43"/>
      <c r="M145" s="44"/>
      <c r="N145" s="43"/>
      <c r="O145" s="44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17"/>
      <c r="B146" s="17"/>
      <c r="C146" s="43"/>
      <c r="D146" s="43"/>
      <c r="E146" s="44"/>
      <c r="F146" s="43"/>
      <c r="G146" s="44"/>
      <c r="H146" s="43"/>
      <c r="I146" s="44"/>
      <c r="J146" s="43"/>
      <c r="K146" s="44"/>
      <c r="L146" s="43"/>
      <c r="M146" s="44"/>
      <c r="N146" s="43"/>
      <c r="O146" s="44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17"/>
      <c r="B147" s="17"/>
      <c r="C147" s="43"/>
      <c r="D147" s="43"/>
      <c r="E147" s="44"/>
      <c r="F147" s="43"/>
      <c r="G147" s="44"/>
      <c r="H147" s="43"/>
      <c r="I147" s="44"/>
      <c r="J147" s="43"/>
      <c r="K147" s="44"/>
      <c r="L147" s="43"/>
      <c r="M147" s="44"/>
      <c r="N147" s="43"/>
      <c r="O147" s="44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17"/>
      <c r="B148" s="17"/>
      <c r="C148" s="43"/>
      <c r="D148" s="43"/>
      <c r="E148" s="44"/>
      <c r="F148" s="43"/>
      <c r="G148" s="44"/>
      <c r="H148" s="43"/>
      <c r="I148" s="44"/>
      <c r="J148" s="43"/>
      <c r="K148" s="44"/>
      <c r="L148" s="43"/>
      <c r="M148" s="44"/>
      <c r="N148" s="43"/>
      <c r="O148" s="44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17"/>
      <c r="B149" s="17"/>
      <c r="C149" s="43"/>
      <c r="D149" s="43"/>
      <c r="E149" s="44"/>
      <c r="F149" s="43"/>
      <c r="G149" s="44"/>
      <c r="H149" s="43"/>
      <c r="I149" s="44"/>
      <c r="J149" s="43"/>
      <c r="K149" s="44"/>
      <c r="L149" s="43"/>
      <c r="M149" s="44"/>
      <c r="N149" s="43"/>
      <c r="O149" s="44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17"/>
      <c r="B150" s="17"/>
      <c r="C150" s="43"/>
      <c r="D150" s="43"/>
      <c r="E150" s="44"/>
      <c r="F150" s="43"/>
      <c r="G150" s="44"/>
      <c r="H150" s="43"/>
      <c r="I150" s="44"/>
      <c r="J150" s="43"/>
      <c r="K150" s="44"/>
      <c r="L150" s="43"/>
      <c r="M150" s="44"/>
      <c r="N150" s="43"/>
      <c r="O150" s="44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17"/>
      <c r="B151" s="17"/>
      <c r="C151" s="43"/>
      <c r="D151" s="43"/>
      <c r="E151" s="44"/>
      <c r="F151" s="43"/>
      <c r="G151" s="44"/>
      <c r="H151" s="43"/>
      <c r="I151" s="44"/>
      <c r="J151" s="43"/>
      <c r="K151" s="44"/>
      <c r="L151" s="43"/>
      <c r="M151" s="44"/>
      <c r="N151" s="43"/>
      <c r="O151" s="44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17"/>
      <c r="B152" s="17"/>
      <c r="C152" s="43"/>
      <c r="D152" s="43"/>
      <c r="E152" s="44"/>
      <c r="F152" s="43"/>
      <c r="G152" s="44"/>
      <c r="H152" s="43"/>
      <c r="I152" s="44"/>
      <c r="J152" s="43"/>
      <c r="K152" s="44"/>
      <c r="L152" s="43"/>
      <c r="M152" s="44"/>
      <c r="N152" s="43"/>
      <c r="O152" s="44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17"/>
      <c r="B153" s="17"/>
      <c r="C153" s="43"/>
      <c r="D153" s="43"/>
      <c r="E153" s="44"/>
      <c r="F153" s="43"/>
      <c r="G153" s="44"/>
      <c r="H153" s="43"/>
      <c r="I153" s="44"/>
      <c r="J153" s="43"/>
      <c r="K153" s="44"/>
      <c r="L153" s="43"/>
      <c r="M153" s="44"/>
      <c r="N153" s="43"/>
      <c r="O153" s="44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17"/>
      <c r="B154" s="17"/>
      <c r="C154" s="43"/>
      <c r="D154" s="43"/>
      <c r="E154" s="44"/>
      <c r="F154" s="43"/>
      <c r="G154" s="44"/>
      <c r="H154" s="43"/>
      <c r="I154" s="44"/>
      <c r="J154" s="43"/>
      <c r="K154" s="44"/>
      <c r="L154" s="43"/>
      <c r="M154" s="44"/>
      <c r="N154" s="43"/>
      <c r="O154" s="44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17"/>
      <c r="B155" s="17"/>
      <c r="C155" s="43"/>
      <c r="D155" s="43"/>
      <c r="E155" s="44"/>
      <c r="F155" s="43"/>
      <c r="G155" s="44"/>
      <c r="H155" s="43"/>
      <c r="I155" s="44"/>
      <c r="J155" s="43"/>
      <c r="K155" s="44"/>
      <c r="L155" s="43"/>
      <c r="M155" s="44"/>
      <c r="N155" s="43"/>
      <c r="O155" s="44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17"/>
      <c r="B156" s="17"/>
      <c r="C156" s="43"/>
      <c r="D156" s="43"/>
      <c r="E156" s="44"/>
      <c r="F156" s="43"/>
      <c r="G156" s="44"/>
      <c r="H156" s="43"/>
      <c r="I156" s="44"/>
      <c r="J156" s="43"/>
      <c r="K156" s="44"/>
      <c r="L156" s="43"/>
      <c r="M156" s="44"/>
      <c r="N156" s="43"/>
      <c r="O156" s="44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17"/>
      <c r="B157" s="17"/>
      <c r="C157" s="43"/>
      <c r="D157" s="43"/>
      <c r="E157" s="44"/>
      <c r="F157" s="43"/>
      <c r="G157" s="44"/>
      <c r="H157" s="43"/>
      <c r="I157" s="44"/>
      <c r="J157" s="43"/>
      <c r="K157" s="44"/>
      <c r="L157" s="43"/>
      <c r="M157" s="44"/>
      <c r="N157" s="43"/>
      <c r="O157" s="44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17"/>
      <c r="B158" s="17"/>
      <c r="C158" s="43"/>
      <c r="D158" s="43"/>
      <c r="E158" s="44"/>
      <c r="F158" s="43"/>
      <c r="G158" s="44"/>
      <c r="H158" s="43"/>
      <c r="I158" s="44"/>
      <c r="J158" s="43"/>
      <c r="K158" s="44"/>
      <c r="L158" s="43"/>
      <c r="M158" s="44"/>
      <c r="N158" s="43"/>
      <c r="O158" s="44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17"/>
      <c r="B159" s="17"/>
      <c r="C159" s="43"/>
      <c r="D159" s="43"/>
      <c r="E159" s="44"/>
      <c r="F159" s="43"/>
      <c r="G159" s="44"/>
      <c r="H159" s="43"/>
      <c r="I159" s="44"/>
      <c r="J159" s="43"/>
      <c r="K159" s="44"/>
      <c r="L159" s="43"/>
      <c r="M159" s="44"/>
      <c r="N159" s="43"/>
      <c r="O159" s="44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17"/>
      <c r="B160" s="17"/>
      <c r="C160" s="43"/>
      <c r="D160" s="43"/>
      <c r="E160" s="44"/>
      <c r="F160" s="43"/>
      <c r="G160" s="44"/>
      <c r="H160" s="43"/>
      <c r="I160" s="44"/>
      <c r="J160" s="43"/>
      <c r="K160" s="44"/>
      <c r="L160" s="43"/>
      <c r="M160" s="44"/>
      <c r="N160" s="43"/>
      <c r="O160" s="44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17"/>
      <c r="B161" s="17"/>
      <c r="C161" s="43"/>
      <c r="D161" s="43"/>
      <c r="E161" s="44"/>
      <c r="F161" s="43"/>
      <c r="G161" s="44"/>
      <c r="H161" s="43"/>
      <c r="I161" s="44"/>
      <c r="J161" s="43"/>
      <c r="K161" s="44"/>
      <c r="L161" s="43"/>
      <c r="M161" s="44"/>
      <c r="N161" s="43"/>
      <c r="O161" s="44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17"/>
      <c r="B162" s="17"/>
      <c r="C162" s="43"/>
      <c r="D162" s="43"/>
      <c r="E162" s="44"/>
      <c r="F162" s="43"/>
      <c r="G162" s="44"/>
      <c r="H162" s="43"/>
      <c r="I162" s="44"/>
      <c r="J162" s="43"/>
      <c r="K162" s="44"/>
      <c r="L162" s="43"/>
      <c r="M162" s="44"/>
      <c r="N162" s="43"/>
      <c r="O162" s="44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17"/>
      <c r="B163" s="17"/>
      <c r="C163" s="43"/>
      <c r="D163" s="43"/>
      <c r="E163" s="44"/>
      <c r="F163" s="43"/>
      <c r="G163" s="44"/>
      <c r="H163" s="43"/>
      <c r="I163" s="44"/>
      <c r="J163" s="43"/>
      <c r="K163" s="44"/>
      <c r="L163" s="43"/>
      <c r="M163" s="44"/>
      <c r="N163" s="43"/>
      <c r="O163" s="44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17"/>
      <c r="B164" s="17"/>
      <c r="C164" s="43"/>
      <c r="D164" s="43"/>
      <c r="E164" s="44"/>
      <c r="F164" s="43"/>
      <c r="G164" s="44"/>
      <c r="H164" s="43"/>
      <c r="I164" s="44"/>
      <c r="J164" s="43"/>
      <c r="K164" s="44"/>
      <c r="L164" s="43"/>
      <c r="M164" s="44"/>
      <c r="N164" s="43"/>
      <c r="O164" s="44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17"/>
      <c r="B165" s="17"/>
      <c r="C165" s="43"/>
      <c r="D165" s="43"/>
      <c r="E165" s="44"/>
      <c r="F165" s="43"/>
      <c r="G165" s="44"/>
      <c r="H165" s="43"/>
      <c r="I165" s="44"/>
      <c r="J165" s="43"/>
      <c r="K165" s="44"/>
      <c r="L165" s="43"/>
      <c r="M165" s="44"/>
      <c r="N165" s="43"/>
      <c r="O165" s="44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17"/>
      <c r="B166" s="17"/>
      <c r="C166" s="43"/>
      <c r="D166" s="43"/>
      <c r="E166" s="44"/>
      <c r="F166" s="43"/>
      <c r="G166" s="44"/>
      <c r="H166" s="43"/>
      <c r="I166" s="44"/>
      <c r="J166" s="43"/>
      <c r="K166" s="44"/>
      <c r="L166" s="43"/>
      <c r="M166" s="44"/>
      <c r="N166" s="43"/>
      <c r="O166" s="44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17"/>
      <c r="B167" s="17"/>
      <c r="C167" s="43"/>
      <c r="D167" s="43"/>
      <c r="E167" s="44"/>
      <c r="F167" s="43"/>
      <c r="G167" s="44"/>
      <c r="H167" s="43"/>
      <c r="I167" s="44"/>
      <c r="J167" s="43"/>
      <c r="K167" s="44"/>
      <c r="L167" s="43"/>
      <c r="M167" s="44"/>
      <c r="N167" s="43"/>
      <c r="O167" s="44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17"/>
      <c r="B168" s="17"/>
      <c r="C168" s="43"/>
      <c r="D168" s="43"/>
      <c r="E168" s="44"/>
      <c r="F168" s="43"/>
      <c r="G168" s="44"/>
      <c r="H168" s="43"/>
      <c r="I168" s="44"/>
      <c r="J168" s="43"/>
      <c r="K168" s="44"/>
      <c r="L168" s="43"/>
      <c r="M168" s="44"/>
      <c r="N168" s="43"/>
      <c r="O168" s="44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17"/>
      <c r="B169" s="17"/>
      <c r="C169" s="43"/>
      <c r="D169" s="43"/>
      <c r="E169" s="44"/>
      <c r="F169" s="43"/>
      <c r="G169" s="44"/>
      <c r="H169" s="43"/>
      <c r="I169" s="44"/>
      <c r="J169" s="43"/>
      <c r="K169" s="44"/>
      <c r="L169" s="43"/>
      <c r="M169" s="44"/>
      <c r="N169" s="43"/>
      <c r="O169" s="44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17"/>
      <c r="B170" s="17"/>
      <c r="C170" s="43"/>
      <c r="D170" s="43"/>
      <c r="E170" s="44"/>
      <c r="F170" s="43"/>
      <c r="G170" s="44"/>
      <c r="H170" s="43"/>
      <c r="I170" s="44"/>
      <c r="J170" s="43"/>
      <c r="K170" s="44"/>
      <c r="L170" s="43"/>
      <c r="M170" s="44"/>
      <c r="N170" s="43"/>
      <c r="O170" s="44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17"/>
      <c r="B171" s="17"/>
      <c r="C171" s="43"/>
      <c r="D171" s="43"/>
      <c r="E171" s="44"/>
      <c r="F171" s="43"/>
      <c r="G171" s="44"/>
      <c r="H171" s="43"/>
      <c r="I171" s="44"/>
      <c r="J171" s="43"/>
      <c r="K171" s="44"/>
      <c r="L171" s="43"/>
      <c r="M171" s="44"/>
      <c r="N171" s="43"/>
      <c r="O171" s="44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17"/>
      <c r="B172" s="17"/>
      <c r="C172" s="43"/>
      <c r="D172" s="43"/>
      <c r="E172" s="44"/>
      <c r="F172" s="43"/>
      <c r="G172" s="44"/>
      <c r="H172" s="43"/>
      <c r="I172" s="44"/>
      <c r="J172" s="43"/>
      <c r="K172" s="44"/>
      <c r="L172" s="43"/>
      <c r="M172" s="44"/>
      <c r="N172" s="43"/>
      <c r="O172" s="44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17"/>
      <c r="B173" s="17"/>
      <c r="C173" s="43"/>
      <c r="D173" s="43"/>
      <c r="E173" s="44"/>
      <c r="F173" s="43"/>
      <c r="G173" s="44"/>
      <c r="H173" s="43"/>
      <c r="I173" s="44"/>
      <c r="J173" s="43"/>
      <c r="K173" s="44"/>
      <c r="L173" s="43"/>
      <c r="M173" s="44"/>
      <c r="N173" s="43"/>
      <c r="O173" s="44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17"/>
      <c r="B174" s="17"/>
      <c r="C174" s="43"/>
      <c r="D174" s="43"/>
      <c r="E174" s="44"/>
      <c r="F174" s="43"/>
      <c r="G174" s="44"/>
      <c r="H174" s="43"/>
      <c r="I174" s="44"/>
      <c r="J174" s="43"/>
      <c r="K174" s="44"/>
      <c r="L174" s="43"/>
      <c r="M174" s="44"/>
      <c r="N174" s="43"/>
      <c r="O174" s="44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17"/>
      <c r="B175" s="17"/>
      <c r="C175" s="43"/>
      <c r="D175" s="43"/>
      <c r="E175" s="44"/>
      <c r="F175" s="43"/>
      <c r="G175" s="44"/>
      <c r="H175" s="43"/>
      <c r="I175" s="44"/>
      <c r="J175" s="43"/>
      <c r="K175" s="44"/>
      <c r="L175" s="43"/>
      <c r="M175" s="44"/>
      <c r="N175" s="43"/>
      <c r="O175" s="44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17"/>
      <c r="B176" s="17"/>
      <c r="C176" s="43"/>
      <c r="D176" s="43"/>
      <c r="E176" s="44"/>
      <c r="F176" s="43"/>
      <c r="G176" s="44"/>
      <c r="H176" s="43"/>
      <c r="I176" s="44"/>
      <c r="J176" s="43"/>
      <c r="K176" s="44"/>
      <c r="L176" s="43"/>
      <c r="M176" s="44"/>
      <c r="N176" s="43"/>
      <c r="O176" s="44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17"/>
      <c r="B177" s="17"/>
      <c r="C177" s="43"/>
      <c r="D177" s="43"/>
      <c r="E177" s="44"/>
      <c r="F177" s="43"/>
      <c r="G177" s="44"/>
      <c r="H177" s="43"/>
      <c r="I177" s="44"/>
      <c r="J177" s="43"/>
      <c r="K177" s="44"/>
      <c r="L177" s="43"/>
      <c r="M177" s="44"/>
      <c r="N177" s="43"/>
      <c r="O177" s="44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17"/>
      <c r="B178" s="17"/>
      <c r="C178" s="43"/>
      <c r="D178" s="43"/>
      <c r="E178" s="44"/>
      <c r="F178" s="43"/>
      <c r="G178" s="44"/>
      <c r="H178" s="43"/>
      <c r="I178" s="44"/>
      <c r="J178" s="43"/>
      <c r="K178" s="44"/>
      <c r="L178" s="43"/>
      <c r="M178" s="44"/>
      <c r="N178" s="43"/>
      <c r="O178" s="44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17"/>
      <c r="B179" s="17"/>
      <c r="C179" s="43"/>
      <c r="D179" s="43"/>
      <c r="E179" s="44"/>
      <c r="F179" s="43"/>
      <c r="G179" s="44"/>
      <c r="H179" s="43"/>
      <c r="I179" s="44"/>
      <c r="J179" s="43"/>
      <c r="K179" s="44"/>
      <c r="L179" s="43"/>
      <c r="M179" s="44"/>
      <c r="N179" s="43"/>
      <c r="O179" s="44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17"/>
      <c r="B180" s="17"/>
      <c r="C180" s="43"/>
      <c r="D180" s="43"/>
      <c r="E180" s="44"/>
      <c r="F180" s="43"/>
      <c r="G180" s="44"/>
      <c r="H180" s="43"/>
      <c r="I180" s="44"/>
      <c r="J180" s="43"/>
      <c r="K180" s="44"/>
      <c r="L180" s="43"/>
      <c r="M180" s="44"/>
      <c r="N180" s="43"/>
      <c r="O180" s="44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17"/>
      <c r="B181" s="17"/>
      <c r="C181" s="43"/>
      <c r="D181" s="43"/>
      <c r="E181" s="44"/>
      <c r="F181" s="43"/>
      <c r="G181" s="44"/>
      <c r="H181" s="43"/>
      <c r="I181" s="44"/>
      <c r="J181" s="43"/>
      <c r="K181" s="44"/>
      <c r="L181" s="43"/>
      <c r="M181" s="44"/>
      <c r="N181" s="43"/>
      <c r="O181" s="44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17"/>
      <c r="B182" s="17"/>
      <c r="C182" s="43"/>
      <c r="D182" s="43"/>
      <c r="E182" s="44"/>
      <c r="F182" s="43"/>
      <c r="G182" s="44"/>
      <c r="H182" s="43"/>
      <c r="I182" s="44"/>
      <c r="J182" s="43"/>
      <c r="K182" s="44"/>
      <c r="L182" s="43"/>
      <c r="M182" s="44"/>
      <c r="N182" s="43"/>
      <c r="O182" s="44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17"/>
      <c r="B183" s="17"/>
      <c r="C183" s="43"/>
      <c r="D183" s="43"/>
      <c r="E183" s="44"/>
      <c r="F183" s="43"/>
      <c r="G183" s="44"/>
      <c r="H183" s="43"/>
      <c r="I183" s="44"/>
      <c r="J183" s="43"/>
      <c r="K183" s="44"/>
      <c r="L183" s="43"/>
      <c r="M183" s="44"/>
      <c r="N183" s="43"/>
      <c r="O183" s="44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17"/>
      <c r="B184" s="17"/>
      <c r="C184" s="43"/>
      <c r="D184" s="43"/>
      <c r="E184" s="44"/>
      <c r="F184" s="43"/>
      <c r="G184" s="44"/>
      <c r="H184" s="43"/>
      <c r="I184" s="44"/>
      <c r="J184" s="43"/>
      <c r="K184" s="44"/>
      <c r="L184" s="43"/>
      <c r="M184" s="44"/>
      <c r="N184" s="43"/>
      <c r="O184" s="44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17"/>
      <c r="B185" s="17"/>
      <c r="C185" s="43"/>
      <c r="D185" s="43"/>
      <c r="E185" s="44"/>
      <c r="F185" s="43"/>
      <c r="G185" s="44"/>
      <c r="H185" s="43"/>
      <c r="I185" s="44"/>
      <c r="J185" s="43"/>
      <c r="K185" s="44"/>
      <c r="L185" s="43"/>
      <c r="M185" s="44"/>
      <c r="N185" s="43"/>
      <c r="O185" s="44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17"/>
      <c r="B186" s="17"/>
      <c r="C186" s="43"/>
      <c r="D186" s="43"/>
      <c r="E186" s="44"/>
      <c r="F186" s="43"/>
      <c r="G186" s="44"/>
      <c r="H186" s="43"/>
      <c r="I186" s="44"/>
      <c r="J186" s="43"/>
      <c r="K186" s="44"/>
      <c r="L186" s="43"/>
      <c r="M186" s="44"/>
      <c r="N186" s="43"/>
      <c r="O186" s="44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17"/>
      <c r="B187" s="17"/>
      <c r="C187" s="43"/>
      <c r="D187" s="43"/>
      <c r="E187" s="44"/>
      <c r="F187" s="43"/>
      <c r="G187" s="44"/>
      <c r="H187" s="43"/>
      <c r="I187" s="44"/>
      <c r="J187" s="43"/>
      <c r="K187" s="44"/>
      <c r="L187" s="43"/>
      <c r="M187" s="44"/>
      <c r="N187" s="43"/>
      <c r="O187" s="44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17"/>
      <c r="B188" s="17"/>
      <c r="C188" s="43"/>
      <c r="D188" s="43"/>
      <c r="E188" s="44"/>
      <c r="F188" s="43"/>
      <c r="G188" s="44"/>
      <c r="H188" s="43"/>
      <c r="I188" s="44"/>
      <c r="J188" s="43"/>
      <c r="K188" s="44"/>
      <c r="L188" s="43"/>
      <c r="M188" s="44"/>
      <c r="N188" s="43"/>
      <c r="O188" s="44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17"/>
      <c r="B189" s="17"/>
      <c r="C189" s="43"/>
      <c r="D189" s="43"/>
      <c r="E189" s="44"/>
      <c r="F189" s="43"/>
      <c r="G189" s="44"/>
      <c r="H189" s="43"/>
      <c r="I189" s="44"/>
      <c r="J189" s="43"/>
      <c r="K189" s="44"/>
      <c r="L189" s="43"/>
      <c r="M189" s="44"/>
      <c r="N189" s="43"/>
      <c r="O189" s="44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17"/>
      <c r="B190" s="17"/>
      <c r="C190" s="43"/>
      <c r="D190" s="43"/>
      <c r="E190" s="44"/>
      <c r="F190" s="43"/>
      <c r="G190" s="44"/>
      <c r="H190" s="43"/>
      <c r="I190" s="44"/>
      <c r="J190" s="43"/>
      <c r="K190" s="44"/>
      <c r="L190" s="43"/>
      <c r="M190" s="44"/>
      <c r="N190" s="43"/>
      <c r="O190" s="44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17"/>
      <c r="B191" s="17"/>
      <c r="C191" s="43"/>
      <c r="D191" s="43"/>
      <c r="E191" s="44"/>
      <c r="F191" s="43"/>
      <c r="G191" s="44"/>
      <c r="H191" s="43"/>
      <c r="I191" s="44"/>
      <c r="J191" s="43"/>
      <c r="K191" s="44"/>
      <c r="L191" s="43"/>
      <c r="M191" s="44"/>
      <c r="N191" s="43"/>
      <c r="O191" s="44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17"/>
      <c r="B192" s="17"/>
      <c r="C192" s="43"/>
      <c r="D192" s="43"/>
      <c r="E192" s="44"/>
      <c r="F192" s="43"/>
      <c r="G192" s="44"/>
      <c r="H192" s="43"/>
      <c r="I192" s="44"/>
      <c r="J192" s="43"/>
      <c r="K192" s="44"/>
      <c r="L192" s="43"/>
      <c r="M192" s="44"/>
      <c r="N192" s="43"/>
      <c r="O192" s="44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17"/>
      <c r="B193" s="17"/>
      <c r="C193" s="43"/>
      <c r="D193" s="43"/>
      <c r="E193" s="44"/>
      <c r="F193" s="43"/>
      <c r="G193" s="44"/>
      <c r="H193" s="43"/>
      <c r="I193" s="44"/>
      <c r="J193" s="43"/>
      <c r="K193" s="44"/>
      <c r="L193" s="43"/>
      <c r="M193" s="44"/>
      <c r="N193" s="43"/>
      <c r="O193" s="44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17"/>
      <c r="B194" s="17"/>
      <c r="C194" s="43"/>
      <c r="D194" s="43"/>
      <c r="E194" s="44"/>
      <c r="F194" s="43"/>
      <c r="G194" s="44"/>
      <c r="H194" s="43"/>
      <c r="I194" s="44"/>
      <c r="J194" s="43"/>
      <c r="K194" s="44"/>
      <c r="L194" s="43"/>
      <c r="M194" s="44"/>
      <c r="N194" s="43"/>
      <c r="O194" s="44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17"/>
      <c r="B195" s="17"/>
      <c r="C195" s="43"/>
      <c r="D195" s="43"/>
      <c r="E195" s="44"/>
      <c r="F195" s="43"/>
      <c r="G195" s="44"/>
      <c r="H195" s="43"/>
      <c r="I195" s="44"/>
      <c r="J195" s="43"/>
      <c r="K195" s="44"/>
      <c r="L195" s="43"/>
      <c r="M195" s="44"/>
      <c r="N195" s="43"/>
      <c r="O195" s="44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17"/>
      <c r="B196" s="17"/>
      <c r="C196" s="43"/>
      <c r="D196" s="43"/>
      <c r="E196" s="44"/>
      <c r="F196" s="43"/>
      <c r="G196" s="44"/>
      <c r="H196" s="43"/>
      <c r="I196" s="44"/>
      <c r="J196" s="43"/>
      <c r="K196" s="44"/>
      <c r="L196" s="43"/>
      <c r="M196" s="44"/>
      <c r="N196" s="43"/>
      <c r="O196" s="44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17"/>
      <c r="B197" s="17"/>
      <c r="C197" s="43"/>
      <c r="D197" s="43"/>
      <c r="E197" s="44"/>
      <c r="F197" s="43"/>
      <c r="G197" s="44"/>
      <c r="H197" s="43"/>
      <c r="I197" s="44"/>
      <c r="J197" s="43"/>
      <c r="K197" s="44"/>
      <c r="L197" s="43"/>
      <c r="M197" s="44"/>
      <c r="N197" s="43"/>
      <c r="O197" s="44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17"/>
      <c r="B198" s="17"/>
      <c r="C198" s="43"/>
      <c r="D198" s="43"/>
      <c r="E198" s="44"/>
      <c r="F198" s="43"/>
      <c r="G198" s="44"/>
      <c r="H198" s="43"/>
      <c r="I198" s="44"/>
      <c r="J198" s="43"/>
      <c r="K198" s="44"/>
      <c r="L198" s="43"/>
      <c r="M198" s="44"/>
      <c r="N198" s="43"/>
      <c r="O198" s="44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17"/>
      <c r="B199" s="17"/>
      <c r="C199" s="43"/>
      <c r="D199" s="43"/>
      <c r="E199" s="44"/>
      <c r="F199" s="43"/>
      <c r="G199" s="44"/>
      <c r="H199" s="43"/>
      <c r="I199" s="44"/>
      <c r="J199" s="43"/>
      <c r="K199" s="44"/>
      <c r="L199" s="43"/>
      <c r="M199" s="44"/>
      <c r="N199" s="43"/>
      <c r="O199" s="44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17"/>
      <c r="B200" s="17"/>
      <c r="C200" s="43"/>
      <c r="D200" s="43"/>
      <c r="E200" s="44"/>
      <c r="F200" s="43"/>
      <c r="G200" s="44"/>
      <c r="H200" s="43"/>
      <c r="I200" s="44"/>
      <c r="J200" s="43"/>
      <c r="K200" s="44"/>
      <c r="L200" s="43"/>
      <c r="M200" s="44"/>
      <c r="N200" s="43"/>
      <c r="O200" s="44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17"/>
      <c r="B201" s="17"/>
      <c r="C201" s="43"/>
      <c r="D201" s="43"/>
      <c r="E201" s="44"/>
      <c r="F201" s="43"/>
      <c r="G201" s="44"/>
      <c r="H201" s="43"/>
      <c r="I201" s="44"/>
      <c r="J201" s="43"/>
      <c r="K201" s="44"/>
      <c r="L201" s="43"/>
      <c r="M201" s="44"/>
      <c r="N201" s="43"/>
      <c r="O201" s="44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17"/>
      <c r="B202" s="17"/>
      <c r="C202" s="43"/>
      <c r="D202" s="43"/>
      <c r="E202" s="44"/>
      <c r="F202" s="43"/>
      <c r="G202" s="44"/>
      <c r="H202" s="43"/>
      <c r="I202" s="44"/>
      <c r="J202" s="43"/>
      <c r="K202" s="44"/>
      <c r="L202" s="43"/>
      <c r="M202" s="44"/>
      <c r="N202" s="43"/>
      <c r="O202" s="44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17"/>
      <c r="B203" s="17"/>
      <c r="C203" s="43"/>
      <c r="D203" s="43"/>
      <c r="E203" s="44"/>
      <c r="F203" s="43"/>
      <c r="G203" s="44"/>
      <c r="H203" s="43"/>
      <c r="I203" s="44"/>
      <c r="J203" s="43"/>
      <c r="K203" s="44"/>
      <c r="L203" s="43"/>
      <c r="M203" s="44"/>
      <c r="N203" s="43"/>
      <c r="O203" s="44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17"/>
      <c r="B204" s="17"/>
      <c r="C204" s="43"/>
      <c r="D204" s="43"/>
      <c r="E204" s="44"/>
      <c r="F204" s="43"/>
      <c r="G204" s="44"/>
      <c r="H204" s="43"/>
      <c r="I204" s="44"/>
      <c r="J204" s="43"/>
      <c r="K204" s="44"/>
      <c r="L204" s="43"/>
      <c r="M204" s="44"/>
      <c r="N204" s="43"/>
      <c r="O204" s="44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17"/>
      <c r="B205" s="17"/>
      <c r="C205" s="43"/>
      <c r="D205" s="43"/>
      <c r="E205" s="44"/>
      <c r="F205" s="43"/>
      <c r="G205" s="44"/>
      <c r="H205" s="43"/>
      <c r="I205" s="44"/>
      <c r="J205" s="43"/>
      <c r="K205" s="44"/>
      <c r="L205" s="43"/>
      <c r="M205" s="44"/>
      <c r="N205" s="43"/>
      <c r="O205" s="44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17"/>
      <c r="B206" s="17"/>
      <c r="C206" s="43"/>
      <c r="D206" s="43"/>
      <c r="E206" s="44"/>
      <c r="F206" s="43"/>
      <c r="G206" s="44"/>
      <c r="H206" s="43"/>
      <c r="I206" s="44"/>
      <c r="J206" s="43"/>
      <c r="K206" s="44"/>
      <c r="L206" s="43"/>
      <c r="M206" s="44"/>
      <c r="N206" s="43"/>
      <c r="O206" s="44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17"/>
      <c r="B207" s="17"/>
      <c r="C207" s="43"/>
      <c r="D207" s="43"/>
      <c r="E207" s="44"/>
      <c r="F207" s="43"/>
      <c r="G207" s="44"/>
      <c r="H207" s="43"/>
      <c r="I207" s="44"/>
      <c r="J207" s="43"/>
      <c r="K207" s="44"/>
      <c r="L207" s="43"/>
      <c r="M207" s="44"/>
      <c r="N207" s="43"/>
      <c r="O207" s="44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17"/>
      <c r="B208" s="17"/>
      <c r="C208" s="43"/>
      <c r="D208" s="43"/>
      <c r="E208" s="44"/>
      <c r="F208" s="43"/>
      <c r="G208" s="44"/>
      <c r="H208" s="43"/>
      <c r="I208" s="44"/>
      <c r="J208" s="43"/>
      <c r="K208" s="44"/>
      <c r="L208" s="43"/>
      <c r="M208" s="44"/>
      <c r="N208" s="43"/>
      <c r="O208" s="44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17"/>
      <c r="B209" s="17"/>
      <c r="C209" s="43"/>
      <c r="D209" s="43"/>
      <c r="E209" s="44"/>
      <c r="F209" s="43"/>
      <c r="G209" s="44"/>
      <c r="H209" s="43"/>
      <c r="I209" s="44"/>
      <c r="J209" s="43"/>
      <c r="K209" s="44"/>
      <c r="L209" s="43"/>
      <c r="M209" s="44"/>
      <c r="N209" s="43"/>
      <c r="O209" s="44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17"/>
      <c r="B210" s="17"/>
      <c r="C210" s="43"/>
      <c r="D210" s="43"/>
      <c r="E210" s="44"/>
      <c r="F210" s="43"/>
      <c r="G210" s="44"/>
      <c r="H210" s="43"/>
      <c r="I210" s="44"/>
      <c r="J210" s="43"/>
      <c r="K210" s="44"/>
      <c r="L210" s="43"/>
      <c r="M210" s="44"/>
      <c r="N210" s="43"/>
      <c r="O210" s="44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17"/>
      <c r="B211" s="17"/>
      <c r="C211" s="43"/>
      <c r="D211" s="43"/>
      <c r="E211" s="44"/>
      <c r="F211" s="43"/>
      <c r="G211" s="44"/>
      <c r="H211" s="43"/>
      <c r="I211" s="44"/>
      <c r="J211" s="43"/>
      <c r="K211" s="44"/>
      <c r="L211" s="43"/>
      <c r="M211" s="44"/>
      <c r="N211" s="43"/>
      <c r="O211" s="44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17"/>
      <c r="B212" s="17"/>
      <c r="C212" s="43"/>
      <c r="D212" s="43"/>
      <c r="E212" s="44"/>
      <c r="F212" s="43"/>
      <c r="G212" s="44"/>
      <c r="H212" s="43"/>
      <c r="I212" s="44"/>
      <c r="J212" s="43"/>
      <c r="K212" s="44"/>
      <c r="L212" s="43"/>
      <c r="M212" s="44"/>
      <c r="N212" s="43"/>
      <c r="O212" s="44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17"/>
      <c r="B213" s="17"/>
      <c r="C213" s="43"/>
      <c r="D213" s="43"/>
      <c r="E213" s="44"/>
      <c r="F213" s="43"/>
      <c r="G213" s="44"/>
      <c r="H213" s="43"/>
      <c r="I213" s="44"/>
      <c r="J213" s="43"/>
      <c r="K213" s="44"/>
      <c r="L213" s="43"/>
      <c r="M213" s="44"/>
      <c r="N213" s="43"/>
      <c r="O213" s="44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17"/>
      <c r="B214" s="17"/>
      <c r="C214" s="43"/>
      <c r="D214" s="43"/>
      <c r="E214" s="44"/>
      <c r="F214" s="43"/>
      <c r="G214" s="44"/>
      <c r="H214" s="43"/>
      <c r="I214" s="44"/>
      <c r="J214" s="43"/>
      <c r="K214" s="44"/>
      <c r="L214" s="43"/>
      <c r="M214" s="44"/>
      <c r="N214" s="43"/>
      <c r="O214" s="44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17"/>
      <c r="B215" s="17"/>
      <c r="C215" s="43"/>
      <c r="D215" s="43"/>
      <c r="E215" s="44"/>
      <c r="F215" s="43"/>
      <c r="G215" s="44"/>
      <c r="H215" s="43"/>
      <c r="I215" s="44"/>
      <c r="J215" s="43"/>
      <c r="K215" s="44"/>
      <c r="L215" s="43"/>
      <c r="M215" s="44"/>
      <c r="N215" s="43"/>
      <c r="O215" s="44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17"/>
      <c r="B216" s="17"/>
      <c r="C216" s="43"/>
      <c r="D216" s="43"/>
      <c r="E216" s="44"/>
      <c r="F216" s="43"/>
      <c r="G216" s="44"/>
      <c r="H216" s="43"/>
      <c r="I216" s="44"/>
      <c r="J216" s="43"/>
      <c r="K216" s="44"/>
      <c r="L216" s="43"/>
      <c r="M216" s="44"/>
      <c r="N216" s="43"/>
      <c r="O216" s="44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17"/>
      <c r="B217" s="17"/>
      <c r="C217" s="43"/>
      <c r="D217" s="43"/>
      <c r="E217" s="44"/>
      <c r="F217" s="43"/>
      <c r="G217" s="44"/>
      <c r="H217" s="43"/>
      <c r="I217" s="44"/>
      <c r="J217" s="43"/>
      <c r="K217" s="44"/>
      <c r="L217" s="43"/>
      <c r="M217" s="44"/>
      <c r="N217" s="43"/>
      <c r="O217" s="44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17"/>
      <c r="B218" s="17"/>
      <c r="C218" s="43"/>
      <c r="D218" s="43"/>
      <c r="E218" s="44"/>
      <c r="F218" s="43"/>
      <c r="G218" s="44"/>
      <c r="H218" s="43"/>
      <c r="I218" s="44"/>
      <c r="J218" s="43"/>
      <c r="K218" s="44"/>
      <c r="L218" s="43"/>
      <c r="M218" s="44"/>
      <c r="N218" s="43"/>
      <c r="O218" s="44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17"/>
      <c r="B219" s="17"/>
      <c r="C219" s="43"/>
      <c r="D219" s="43"/>
      <c r="E219" s="44"/>
      <c r="F219" s="43"/>
      <c r="G219" s="44"/>
      <c r="H219" s="43"/>
      <c r="I219" s="44"/>
      <c r="J219" s="43"/>
      <c r="K219" s="44"/>
      <c r="L219" s="43"/>
      <c r="M219" s="44"/>
      <c r="N219" s="43"/>
      <c r="O219" s="44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17"/>
      <c r="B220" s="17"/>
      <c r="C220" s="43"/>
      <c r="D220" s="43"/>
      <c r="E220" s="44"/>
      <c r="F220" s="43"/>
      <c r="G220" s="44"/>
      <c r="H220" s="43"/>
      <c r="I220" s="44"/>
      <c r="J220" s="43"/>
      <c r="K220" s="44"/>
      <c r="L220" s="43"/>
      <c r="M220" s="44"/>
      <c r="N220" s="43"/>
      <c r="O220" s="44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17"/>
      <c r="B221" s="17"/>
      <c r="C221" s="43"/>
      <c r="D221" s="43"/>
      <c r="E221" s="44"/>
      <c r="F221" s="43"/>
      <c r="G221" s="44"/>
      <c r="H221" s="43"/>
      <c r="I221" s="44"/>
      <c r="J221" s="43"/>
      <c r="K221" s="44"/>
      <c r="L221" s="43"/>
      <c r="M221" s="44"/>
      <c r="N221" s="43"/>
      <c r="O221" s="44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17"/>
      <c r="B222" s="17"/>
      <c r="C222" s="43"/>
      <c r="D222" s="43"/>
      <c r="E222" s="44"/>
      <c r="F222" s="43"/>
      <c r="G222" s="44"/>
      <c r="H222" s="43"/>
      <c r="I222" s="44"/>
      <c r="J222" s="43"/>
      <c r="K222" s="44"/>
      <c r="L222" s="43"/>
      <c r="M222" s="44"/>
      <c r="N222" s="43"/>
      <c r="O222" s="44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17"/>
      <c r="B223" s="17"/>
      <c r="C223" s="43"/>
      <c r="D223" s="43"/>
      <c r="E223" s="44"/>
      <c r="F223" s="43"/>
      <c r="G223" s="44"/>
      <c r="H223" s="43"/>
      <c r="I223" s="44"/>
      <c r="J223" s="43"/>
      <c r="K223" s="44"/>
      <c r="L223" s="43"/>
      <c r="M223" s="44"/>
      <c r="N223" s="43"/>
      <c r="O223" s="44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17"/>
      <c r="B224" s="17"/>
      <c r="C224" s="43"/>
      <c r="D224" s="43"/>
      <c r="E224" s="44"/>
      <c r="F224" s="43"/>
      <c r="G224" s="44"/>
      <c r="H224" s="43"/>
      <c r="I224" s="44"/>
      <c r="J224" s="43"/>
      <c r="K224" s="44"/>
      <c r="L224" s="43"/>
      <c r="M224" s="44"/>
      <c r="N224" s="43"/>
      <c r="O224" s="44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17"/>
      <c r="B225" s="17"/>
      <c r="C225" s="43"/>
      <c r="D225" s="43"/>
      <c r="E225" s="44"/>
      <c r="F225" s="43"/>
      <c r="G225" s="44"/>
      <c r="H225" s="43"/>
      <c r="I225" s="44"/>
      <c r="J225" s="43"/>
      <c r="K225" s="44"/>
      <c r="L225" s="43"/>
      <c r="M225" s="44"/>
      <c r="N225" s="43"/>
      <c r="O225" s="44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17"/>
      <c r="B226" s="17"/>
      <c r="C226" s="43"/>
      <c r="D226" s="43"/>
      <c r="E226" s="44"/>
      <c r="F226" s="43"/>
      <c r="G226" s="44"/>
      <c r="H226" s="43"/>
      <c r="I226" s="44"/>
      <c r="J226" s="43"/>
      <c r="K226" s="44"/>
      <c r="L226" s="43"/>
      <c r="M226" s="44"/>
      <c r="N226" s="43"/>
      <c r="O226" s="44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17"/>
      <c r="B227" s="17"/>
      <c r="C227" s="43"/>
      <c r="D227" s="43"/>
      <c r="E227" s="44"/>
      <c r="F227" s="43"/>
      <c r="G227" s="44"/>
      <c r="H227" s="43"/>
      <c r="I227" s="44"/>
      <c r="J227" s="43"/>
      <c r="K227" s="44"/>
      <c r="L227" s="43"/>
      <c r="M227" s="44"/>
      <c r="N227" s="43"/>
      <c r="O227" s="44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17"/>
      <c r="B228" s="17"/>
      <c r="C228" s="43"/>
      <c r="D228" s="43"/>
      <c r="E228" s="44"/>
      <c r="F228" s="43"/>
      <c r="G228" s="44"/>
      <c r="H228" s="43"/>
      <c r="I228" s="44"/>
      <c r="J228" s="43"/>
      <c r="K228" s="44"/>
      <c r="L228" s="43"/>
      <c r="M228" s="44"/>
      <c r="N228" s="43"/>
      <c r="O228" s="44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17"/>
      <c r="B229" s="17"/>
      <c r="C229" s="43"/>
      <c r="D229" s="43"/>
      <c r="E229" s="44"/>
      <c r="F229" s="43"/>
      <c r="G229" s="44"/>
      <c r="H229" s="43"/>
      <c r="I229" s="44"/>
      <c r="J229" s="43"/>
      <c r="K229" s="44"/>
      <c r="L229" s="43"/>
      <c r="M229" s="44"/>
      <c r="N229" s="43"/>
      <c r="O229" s="44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17"/>
      <c r="B230" s="17"/>
      <c r="C230" s="43"/>
      <c r="D230" s="43"/>
      <c r="E230" s="44"/>
      <c r="F230" s="43"/>
      <c r="G230" s="44"/>
      <c r="H230" s="43"/>
      <c r="I230" s="44"/>
      <c r="J230" s="43"/>
      <c r="K230" s="44"/>
      <c r="L230" s="43"/>
      <c r="M230" s="44"/>
      <c r="N230" s="43"/>
      <c r="O230" s="44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17"/>
      <c r="B231" s="17"/>
      <c r="C231" s="43"/>
      <c r="D231" s="43"/>
      <c r="E231" s="44"/>
      <c r="F231" s="43"/>
      <c r="G231" s="44"/>
      <c r="H231" s="43"/>
      <c r="I231" s="44"/>
      <c r="J231" s="43"/>
      <c r="K231" s="44"/>
      <c r="L231" s="43"/>
      <c r="M231" s="44"/>
      <c r="N231" s="43"/>
      <c r="O231" s="44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17"/>
      <c r="B232" s="17"/>
      <c r="C232" s="43"/>
      <c r="D232" s="43"/>
      <c r="E232" s="44"/>
      <c r="F232" s="43"/>
      <c r="G232" s="44"/>
      <c r="H232" s="43"/>
      <c r="I232" s="44"/>
      <c r="J232" s="43"/>
      <c r="K232" s="44"/>
      <c r="L232" s="43"/>
      <c r="M232" s="44"/>
      <c r="N232" s="43"/>
      <c r="O232" s="44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17"/>
      <c r="B233" s="17"/>
      <c r="C233" s="43"/>
      <c r="D233" s="43"/>
      <c r="E233" s="44"/>
      <c r="F233" s="43"/>
      <c r="G233" s="44"/>
      <c r="H233" s="43"/>
      <c r="I233" s="44"/>
      <c r="J233" s="43"/>
      <c r="K233" s="44"/>
      <c r="L233" s="43"/>
      <c r="M233" s="44"/>
      <c r="N233" s="43"/>
      <c r="O233" s="44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17"/>
      <c r="B234" s="17"/>
      <c r="C234" s="43"/>
      <c r="D234" s="43"/>
      <c r="E234" s="44"/>
      <c r="F234" s="43"/>
      <c r="G234" s="44"/>
      <c r="H234" s="43"/>
      <c r="I234" s="44"/>
      <c r="J234" s="43"/>
      <c r="K234" s="44"/>
      <c r="L234" s="43"/>
      <c r="M234" s="44"/>
      <c r="N234" s="43"/>
      <c r="O234" s="44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17"/>
      <c r="B235" s="17"/>
      <c r="C235" s="43"/>
      <c r="D235" s="43"/>
      <c r="E235" s="44"/>
      <c r="F235" s="43"/>
      <c r="G235" s="44"/>
      <c r="H235" s="43"/>
      <c r="I235" s="44"/>
      <c r="J235" s="43"/>
      <c r="K235" s="44"/>
      <c r="L235" s="43"/>
      <c r="M235" s="44"/>
      <c r="N235" s="43"/>
      <c r="O235" s="44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17"/>
      <c r="B236" s="17"/>
      <c r="C236" s="43"/>
      <c r="D236" s="43"/>
      <c r="E236" s="44"/>
      <c r="F236" s="43"/>
      <c r="G236" s="44"/>
      <c r="H236" s="43"/>
      <c r="I236" s="44"/>
      <c r="J236" s="43"/>
      <c r="K236" s="44"/>
      <c r="L236" s="43"/>
      <c r="M236" s="44"/>
      <c r="N236" s="43"/>
      <c r="O236" s="44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17"/>
      <c r="B237" s="17"/>
      <c r="C237" s="43"/>
      <c r="D237" s="43"/>
      <c r="E237" s="44"/>
      <c r="F237" s="43"/>
      <c r="G237" s="44"/>
      <c r="H237" s="43"/>
      <c r="I237" s="44"/>
      <c r="J237" s="43"/>
      <c r="K237" s="44"/>
      <c r="L237" s="43"/>
      <c r="M237" s="44"/>
      <c r="N237" s="43"/>
      <c r="O237" s="44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17"/>
      <c r="B238" s="17"/>
      <c r="C238" s="43"/>
      <c r="D238" s="43"/>
      <c r="E238" s="44"/>
      <c r="F238" s="43"/>
      <c r="G238" s="44"/>
      <c r="H238" s="43"/>
      <c r="I238" s="44"/>
      <c r="J238" s="43"/>
      <c r="K238" s="44"/>
      <c r="L238" s="43"/>
      <c r="M238" s="44"/>
      <c r="N238" s="43"/>
      <c r="O238" s="44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17"/>
      <c r="B239" s="17"/>
      <c r="C239" s="43"/>
      <c r="D239" s="43"/>
      <c r="E239" s="44"/>
      <c r="F239" s="43"/>
      <c r="G239" s="44"/>
      <c r="H239" s="43"/>
      <c r="I239" s="44"/>
      <c r="J239" s="43"/>
      <c r="K239" s="44"/>
      <c r="L239" s="43"/>
      <c r="M239" s="44"/>
      <c r="N239" s="43"/>
      <c r="O239" s="44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17"/>
      <c r="B240" s="17"/>
      <c r="C240" s="43"/>
      <c r="D240" s="43"/>
      <c r="E240" s="44"/>
      <c r="F240" s="43"/>
      <c r="G240" s="44"/>
      <c r="H240" s="43"/>
      <c r="I240" s="44"/>
      <c r="J240" s="43"/>
      <c r="K240" s="44"/>
      <c r="L240" s="43"/>
      <c r="M240" s="44"/>
      <c r="N240" s="43"/>
      <c r="O240" s="44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17"/>
      <c r="B241" s="17"/>
      <c r="C241" s="43"/>
      <c r="D241" s="43"/>
      <c r="E241" s="44"/>
      <c r="F241" s="43"/>
      <c r="G241" s="44"/>
      <c r="H241" s="43"/>
      <c r="I241" s="44"/>
      <c r="J241" s="43"/>
      <c r="K241" s="44"/>
      <c r="L241" s="43"/>
      <c r="M241" s="44"/>
      <c r="N241" s="43"/>
      <c r="O241" s="44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17"/>
      <c r="B242" s="17"/>
      <c r="C242" s="43"/>
      <c r="D242" s="43"/>
      <c r="E242" s="44"/>
      <c r="F242" s="43"/>
      <c r="G242" s="44"/>
      <c r="H242" s="43"/>
      <c r="I242" s="44"/>
      <c r="J242" s="43"/>
      <c r="K242" s="44"/>
      <c r="L242" s="43"/>
      <c r="M242" s="44"/>
      <c r="N242" s="43"/>
      <c r="O242" s="44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17"/>
      <c r="B243" s="17"/>
      <c r="C243" s="43"/>
      <c r="D243" s="43"/>
      <c r="E243" s="44"/>
      <c r="F243" s="43"/>
      <c r="G243" s="44"/>
      <c r="H243" s="43"/>
      <c r="I243" s="44"/>
      <c r="J243" s="43"/>
      <c r="K243" s="44"/>
      <c r="L243" s="43"/>
      <c r="M243" s="44"/>
      <c r="N243" s="43"/>
      <c r="O243" s="44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17"/>
      <c r="B244" s="17"/>
      <c r="C244" s="43"/>
      <c r="D244" s="43"/>
      <c r="E244" s="44"/>
      <c r="F244" s="43"/>
      <c r="G244" s="44"/>
      <c r="H244" s="43"/>
      <c r="I244" s="44"/>
      <c r="J244" s="43"/>
      <c r="K244" s="44"/>
      <c r="L244" s="43"/>
      <c r="M244" s="44"/>
      <c r="N244" s="43"/>
      <c r="O244" s="44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17"/>
      <c r="B245" s="17"/>
      <c r="C245" s="43"/>
      <c r="D245" s="43"/>
      <c r="E245" s="44"/>
      <c r="F245" s="43"/>
      <c r="G245" s="44"/>
      <c r="H245" s="43"/>
      <c r="I245" s="44"/>
      <c r="J245" s="43"/>
      <c r="K245" s="44"/>
      <c r="L245" s="43"/>
      <c r="M245" s="44"/>
      <c r="N245" s="43"/>
      <c r="O245" s="44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17"/>
      <c r="B246" s="17"/>
      <c r="C246" s="43"/>
      <c r="D246" s="43"/>
      <c r="E246" s="44"/>
      <c r="F246" s="43"/>
      <c r="G246" s="44"/>
      <c r="H246" s="43"/>
      <c r="I246" s="44"/>
      <c r="J246" s="43"/>
      <c r="K246" s="44"/>
      <c r="L246" s="43"/>
      <c r="M246" s="44"/>
      <c r="N246" s="43"/>
      <c r="O246" s="44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17"/>
      <c r="B247" s="17"/>
      <c r="C247" s="43"/>
      <c r="D247" s="43"/>
      <c r="E247" s="44"/>
      <c r="F247" s="43"/>
      <c r="G247" s="44"/>
      <c r="H247" s="43"/>
      <c r="I247" s="44"/>
      <c r="J247" s="43"/>
      <c r="K247" s="44"/>
      <c r="L247" s="43"/>
      <c r="M247" s="44"/>
      <c r="N247" s="43"/>
      <c r="O247" s="44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17"/>
      <c r="B248" s="17"/>
      <c r="C248" s="43"/>
      <c r="D248" s="43"/>
      <c r="E248" s="44"/>
      <c r="F248" s="43"/>
      <c r="G248" s="44"/>
      <c r="H248" s="43"/>
      <c r="I248" s="44"/>
      <c r="J248" s="43"/>
      <c r="K248" s="44"/>
      <c r="L248" s="43"/>
      <c r="M248" s="44"/>
      <c r="N248" s="43"/>
      <c r="O248" s="44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17"/>
      <c r="B249" s="17"/>
      <c r="C249" s="43"/>
      <c r="D249" s="43"/>
      <c r="E249" s="44"/>
      <c r="F249" s="43"/>
      <c r="G249" s="44"/>
      <c r="H249" s="43"/>
      <c r="I249" s="44"/>
      <c r="J249" s="43"/>
      <c r="K249" s="44"/>
      <c r="L249" s="43"/>
      <c r="M249" s="44"/>
      <c r="N249" s="43"/>
      <c r="O249" s="44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17"/>
      <c r="B250" s="17"/>
      <c r="C250" s="43"/>
      <c r="D250" s="43"/>
      <c r="E250" s="44"/>
      <c r="F250" s="43"/>
      <c r="G250" s="44"/>
      <c r="H250" s="43"/>
      <c r="I250" s="44"/>
      <c r="J250" s="43"/>
      <c r="K250" s="44"/>
      <c r="L250" s="43"/>
      <c r="M250" s="44"/>
      <c r="N250" s="43"/>
      <c r="O250" s="44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17"/>
      <c r="B251" s="17"/>
      <c r="C251" s="43"/>
      <c r="D251" s="43"/>
      <c r="E251" s="44"/>
      <c r="F251" s="43"/>
      <c r="G251" s="44"/>
      <c r="H251" s="43"/>
      <c r="I251" s="44"/>
      <c r="J251" s="43"/>
      <c r="K251" s="44"/>
      <c r="L251" s="43"/>
      <c r="M251" s="44"/>
      <c r="N251" s="43"/>
      <c r="O251" s="44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17"/>
      <c r="B252" s="17"/>
      <c r="C252" s="43"/>
      <c r="D252" s="43"/>
      <c r="E252" s="44"/>
      <c r="F252" s="43"/>
      <c r="G252" s="44"/>
      <c r="H252" s="43"/>
      <c r="I252" s="44"/>
      <c r="J252" s="43"/>
      <c r="K252" s="44"/>
      <c r="L252" s="43"/>
      <c r="M252" s="44"/>
      <c r="N252" s="43"/>
      <c r="O252" s="44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17"/>
      <c r="B253" s="17"/>
      <c r="C253" s="43"/>
      <c r="D253" s="43"/>
      <c r="E253" s="44"/>
      <c r="F253" s="43"/>
      <c r="G253" s="44"/>
      <c r="H253" s="43"/>
      <c r="I253" s="44"/>
      <c r="J253" s="43"/>
      <c r="K253" s="44"/>
      <c r="L253" s="43"/>
      <c r="M253" s="44"/>
      <c r="N253" s="43"/>
      <c r="O253" s="44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17"/>
      <c r="B254" s="17"/>
      <c r="C254" s="43"/>
      <c r="D254" s="43"/>
      <c r="E254" s="44"/>
      <c r="F254" s="43"/>
      <c r="G254" s="44"/>
      <c r="H254" s="43"/>
      <c r="I254" s="44"/>
      <c r="J254" s="43"/>
      <c r="K254" s="44"/>
      <c r="L254" s="43"/>
      <c r="M254" s="44"/>
      <c r="N254" s="43"/>
      <c r="O254" s="44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17"/>
      <c r="B255" s="17"/>
      <c r="C255" s="43"/>
      <c r="D255" s="43"/>
      <c r="E255" s="44"/>
      <c r="F255" s="43"/>
      <c r="G255" s="44"/>
      <c r="H255" s="43"/>
      <c r="I255" s="44"/>
      <c r="J255" s="43"/>
      <c r="K255" s="44"/>
      <c r="L255" s="43"/>
      <c r="M255" s="44"/>
      <c r="N255" s="43"/>
      <c r="O255" s="44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17"/>
      <c r="B256" s="17"/>
      <c r="C256" s="43"/>
      <c r="D256" s="43"/>
      <c r="E256" s="44"/>
      <c r="F256" s="43"/>
      <c r="G256" s="44"/>
      <c r="H256" s="43"/>
      <c r="I256" s="44"/>
      <c r="J256" s="43"/>
      <c r="K256" s="44"/>
      <c r="L256" s="43"/>
      <c r="M256" s="44"/>
      <c r="N256" s="43"/>
      <c r="O256" s="44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17"/>
      <c r="B257" s="17"/>
      <c r="C257" s="43"/>
      <c r="D257" s="43"/>
      <c r="E257" s="44"/>
      <c r="F257" s="43"/>
      <c r="G257" s="44"/>
      <c r="H257" s="43"/>
      <c r="I257" s="44"/>
      <c r="J257" s="43"/>
      <c r="K257" s="44"/>
      <c r="L257" s="43"/>
      <c r="M257" s="44"/>
      <c r="N257" s="43"/>
      <c r="O257" s="44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17"/>
      <c r="B258" s="17"/>
      <c r="C258" s="43"/>
      <c r="D258" s="43"/>
      <c r="E258" s="44"/>
      <c r="F258" s="43"/>
      <c r="G258" s="44"/>
      <c r="H258" s="43"/>
      <c r="I258" s="44"/>
      <c r="J258" s="43"/>
      <c r="K258" s="44"/>
      <c r="L258" s="43"/>
      <c r="M258" s="44"/>
      <c r="N258" s="43"/>
      <c r="O258" s="44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17"/>
      <c r="B259" s="17"/>
      <c r="C259" s="43"/>
      <c r="D259" s="43"/>
      <c r="E259" s="44"/>
      <c r="F259" s="43"/>
      <c r="G259" s="44"/>
      <c r="H259" s="43"/>
      <c r="I259" s="44"/>
      <c r="J259" s="43"/>
      <c r="K259" s="44"/>
      <c r="L259" s="43"/>
      <c r="M259" s="44"/>
      <c r="N259" s="43"/>
      <c r="O259" s="44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17"/>
      <c r="B260" s="17"/>
      <c r="C260" s="43"/>
      <c r="D260" s="43"/>
      <c r="E260" s="44"/>
      <c r="F260" s="43"/>
      <c r="G260" s="44"/>
      <c r="H260" s="43"/>
      <c r="I260" s="44"/>
      <c r="J260" s="43"/>
      <c r="K260" s="44"/>
      <c r="L260" s="43"/>
      <c r="M260" s="44"/>
      <c r="N260" s="43"/>
      <c r="O260" s="44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17"/>
      <c r="B261" s="17"/>
      <c r="C261" s="43"/>
      <c r="D261" s="43"/>
      <c r="E261" s="44"/>
      <c r="F261" s="43"/>
      <c r="G261" s="44"/>
      <c r="H261" s="43"/>
      <c r="I261" s="44"/>
      <c r="J261" s="43"/>
      <c r="K261" s="44"/>
      <c r="L261" s="43"/>
      <c r="M261" s="44"/>
      <c r="N261" s="43"/>
      <c r="O261" s="44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17"/>
      <c r="B262" s="17"/>
      <c r="C262" s="43"/>
      <c r="D262" s="43"/>
      <c r="E262" s="44"/>
      <c r="F262" s="43"/>
      <c r="G262" s="44"/>
      <c r="H262" s="43"/>
      <c r="I262" s="44"/>
      <c r="J262" s="43"/>
      <c r="K262" s="44"/>
      <c r="L262" s="43"/>
      <c r="M262" s="44"/>
      <c r="N262" s="43"/>
      <c r="O262" s="44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17"/>
      <c r="B263" s="17"/>
      <c r="C263" s="43"/>
      <c r="D263" s="43"/>
      <c r="E263" s="44"/>
      <c r="F263" s="43"/>
      <c r="G263" s="44"/>
      <c r="H263" s="43"/>
      <c r="I263" s="44"/>
      <c r="J263" s="43"/>
      <c r="K263" s="44"/>
      <c r="L263" s="43"/>
      <c r="M263" s="44"/>
      <c r="N263" s="43"/>
      <c r="O263" s="44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17"/>
      <c r="B264" s="17"/>
      <c r="C264" s="43"/>
      <c r="D264" s="43"/>
      <c r="E264" s="44"/>
      <c r="F264" s="43"/>
      <c r="G264" s="44"/>
      <c r="H264" s="43"/>
      <c r="I264" s="44"/>
      <c r="J264" s="43"/>
      <c r="K264" s="44"/>
      <c r="L264" s="43"/>
      <c r="M264" s="44"/>
      <c r="N264" s="43"/>
      <c r="O264" s="44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17"/>
      <c r="B265" s="17"/>
      <c r="C265" s="43"/>
      <c r="D265" s="43"/>
      <c r="E265" s="44"/>
      <c r="F265" s="43"/>
      <c r="G265" s="44"/>
      <c r="H265" s="43"/>
      <c r="I265" s="44"/>
      <c r="J265" s="43"/>
      <c r="K265" s="44"/>
      <c r="L265" s="43"/>
      <c r="M265" s="44"/>
      <c r="N265" s="43"/>
      <c r="O265" s="44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17"/>
      <c r="B266" s="17"/>
      <c r="C266" s="43"/>
      <c r="D266" s="43"/>
      <c r="E266" s="44"/>
      <c r="F266" s="43"/>
      <c r="G266" s="44"/>
      <c r="H266" s="43"/>
      <c r="I266" s="44"/>
      <c r="J266" s="43"/>
      <c r="K266" s="44"/>
      <c r="L266" s="43"/>
      <c r="M266" s="44"/>
      <c r="N266" s="43"/>
      <c r="O266" s="44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17"/>
      <c r="B267" s="17"/>
      <c r="C267" s="43"/>
      <c r="D267" s="43"/>
      <c r="E267" s="44"/>
      <c r="F267" s="43"/>
      <c r="G267" s="44"/>
      <c r="H267" s="43"/>
      <c r="I267" s="44"/>
      <c r="J267" s="43"/>
      <c r="K267" s="44"/>
      <c r="L267" s="43"/>
      <c r="M267" s="44"/>
      <c r="N267" s="43"/>
      <c r="O267" s="44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17"/>
      <c r="B268" s="17"/>
      <c r="C268" s="43"/>
      <c r="D268" s="43"/>
      <c r="E268" s="44"/>
      <c r="F268" s="43"/>
      <c r="G268" s="44"/>
      <c r="H268" s="43"/>
      <c r="I268" s="44"/>
      <c r="J268" s="43"/>
      <c r="K268" s="44"/>
      <c r="L268" s="43"/>
      <c r="M268" s="44"/>
      <c r="N268" s="43"/>
      <c r="O268" s="44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17"/>
      <c r="B269" s="17"/>
      <c r="C269" s="43"/>
      <c r="D269" s="43"/>
      <c r="E269" s="44"/>
      <c r="F269" s="43"/>
      <c r="G269" s="44"/>
      <c r="H269" s="43"/>
      <c r="I269" s="44"/>
      <c r="J269" s="43"/>
      <c r="K269" s="44"/>
      <c r="L269" s="43"/>
      <c r="M269" s="44"/>
      <c r="N269" s="43"/>
      <c r="O269" s="44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17"/>
      <c r="B270" s="17"/>
      <c r="C270" s="43"/>
      <c r="D270" s="43"/>
      <c r="E270" s="44"/>
      <c r="F270" s="43"/>
      <c r="G270" s="44"/>
      <c r="H270" s="43"/>
      <c r="I270" s="44"/>
      <c r="J270" s="43"/>
      <c r="K270" s="44"/>
      <c r="L270" s="43"/>
      <c r="M270" s="44"/>
      <c r="N270" s="43"/>
      <c r="O270" s="44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17"/>
      <c r="B271" s="17"/>
      <c r="C271" s="43"/>
      <c r="D271" s="43"/>
      <c r="E271" s="44"/>
      <c r="F271" s="43"/>
      <c r="G271" s="44"/>
      <c r="H271" s="43"/>
      <c r="I271" s="44"/>
      <c r="J271" s="43"/>
      <c r="K271" s="44"/>
      <c r="L271" s="43"/>
      <c r="M271" s="44"/>
      <c r="N271" s="43"/>
      <c r="O271" s="44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17"/>
      <c r="B272" s="17"/>
      <c r="C272" s="43"/>
      <c r="D272" s="43"/>
      <c r="E272" s="44"/>
      <c r="F272" s="43"/>
      <c r="G272" s="44"/>
      <c r="H272" s="43"/>
      <c r="I272" s="44"/>
      <c r="J272" s="43"/>
      <c r="K272" s="44"/>
      <c r="L272" s="43"/>
      <c r="M272" s="44"/>
      <c r="N272" s="43"/>
      <c r="O272" s="44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17"/>
      <c r="B273" s="17"/>
      <c r="C273" s="43"/>
      <c r="D273" s="43"/>
      <c r="E273" s="44"/>
      <c r="F273" s="43"/>
      <c r="G273" s="44"/>
      <c r="H273" s="43"/>
      <c r="I273" s="44"/>
      <c r="J273" s="43"/>
      <c r="K273" s="44"/>
      <c r="L273" s="43"/>
      <c r="M273" s="44"/>
      <c r="N273" s="43"/>
      <c r="O273" s="44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17"/>
      <c r="B274" s="17"/>
      <c r="C274" s="43"/>
      <c r="D274" s="43"/>
      <c r="E274" s="44"/>
      <c r="F274" s="43"/>
      <c r="G274" s="44"/>
      <c r="H274" s="43"/>
      <c r="I274" s="44"/>
      <c r="J274" s="43"/>
      <c r="K274" s="44"/>
      <c r="L274" s="43"/>
      <c r="M274" s="44"/>
      <c r="N274" s="43"/>
      <c r="O274" s="44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17"/>
      <c r="B275" s="17"/>
      <c r="C275" s="43"/>
      <c r="D275" s="43"/>
      <c r="E275" s="44"/>
      <c r="F275" s="43"/>
      <c r="G275" s="44"/>
      <c r="H275" s="43"/>
      <c r="I275" s="44"/>
      <c r="J275" s="43"/>
      <c r="K275" s="44"/>
      <c r="L275" s="43"/>
      <c r="M275" s="44"/>
      <c r="N275" s="43"/>
      <c r="O275" s="44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17"/>
      <c r="B276" s="17"/>
      <c r="C276" s="43"/>
      <c r="D276" s="43"/>
      <c r="E276" s="44"/>
      <c r="F276" s="43"/>
      <c r="G276" s="44"/>
      <c r="H276" s="43"/>
      <c r="I276" s="44"/>
      <c r="J276" s="43"/>
      <c r="K276" s="44"/>
      <c r="L276" s="43"/>
      <c r="M276" s="44"/>
      <c r="N276" s="43"/>
      <c r="O276" s="44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17"/>
      <c r="B277" s="17"/>
      <c r="C277" s="43"/>
      <c r="D277" s="43"/>
      <c r="E277" s="44"/>
      <c r="F277" s="43"/>
      <c r="G277" s="44"/>
      <c r="H277" s="43"/>
      <c r="I277" s="44"/>
      <c r="J277" s="43"/>
      <c r="K277" s="44"/>
      <c r="L277" s="43"/>
      <c r="M277" s="44"/>
      <c r="N277" s="43"/>
      <c r="O277" s="44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17"/>
      <c r="B278" s="17"/>
      <c r="C278" s="43"/>
      <c r="D278" s="43"/>
      <c r="E278" s="44"/>
      <c r="F278" s="43"/>
      <c r="G278" s="44"/>
      <c r="H278" s="43"/>
      <c r="I278" s="44"/>
      <c r="J278" s="43"/>
      <c r="K278" s="44"/>
      <c r="L278" s="43"/>
      <c r="M278" s="44"/>
      <c r="N278" s="43"/>
      <c r="O278" s="44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17"/>
      <c r="B279" s="17"/>
      <c r="C279" s="43"/>
      <c r="D279" s="43"/>
      <c r="E279" s="44"/>
      <c r="F279" s="43"/>
      <c r="G279" s="44"/>
      <c r="H279" s="43"/>
      <c r="I279" s="44"/>
      <c r="J279" s="43"/>
      <c r="K279" s="44"/>
      <c r="L279" s="43"/>
      <c r="M279" s="44"/>
      <c r="N279" s="43"/>
      <c r="O279" s="44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17"/>
      <c r="B280" s="17"/>
      <c r="C280" s="43"/>
      <c r="D280" s="43"/>
      <c r="E280" s="44"/>
      <c r="F280" s="43"/>
      <c r="G280" s="44"/>
      <c r="H280" s="43"/>
      <c r="I280" s="44"/>
      <c r="J280" s="43"/>
      <c r="K280" s="44"/>
      <c r="L280" s="43"/>
      <c r="M280" s="44"/>
      <c r="N280" s="43"/>
      <c r="O280" s="44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17"/>
      <c r="B281" s="17"/>
      <c r="C281" s="43"/>
      <c r="D281" s="43"/>
      <c r="E281" s="44"/>
      <c r="F281" s="43"/>
      <c r="G281" s="44"/>
      <c r="H281" s="43"/>
      <c r="I281" s="44"/>
      <c r="J281" s="43"/>
      <c r="K281" s="44"/>
      <c r="L281" s="43"/>
      <c r="M281" s="44"/>
      <c r="N281" s="43"/>
      <c r="O281" s="44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17"/>
      <c r="B282" s="17"/>
      <c r="C282" s="43"/>
      <c r="D282" s="43"/>
      <c r="E282" s="44"/>
      <c r="F282" s="43"/>
      <c r="G282" s="44"/>
      <c r="H282" s="43"/>
      <c r="I282" s="44"/>
      <c r="J282" s="43"/>
      <c r="K282" s="44"/>
      <c r="L282" s="43"/>
      <c r="M282" s="44"/>
      <c r="N282" s="43"/>
      <c r="O282" s="44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17"/>
      <c r="B283" s="17"/>
      <c r="C283" s="43"/>
      <c r="D283" s="43"/>
      <c r="E283" s="44"/>
      <c r="F283" s="43"/>
      <c r="G283" s="44"/>
      <c r="H283" s="43"/>
      <c r="I283" s="44"/>
      <c r="J283" s="43"/>
      <c r="K283" s="44"/>
      <c r="L283" s="43"/>
      <c r="M283" s="44"/>
      <c r="N283" s="43"/>
      <c r="O283" s="44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17"/>
      <c r="B284" s="17"/>
      <c r="C284" s="43"/>
      <c r="D284" s="43"/>
      <c r="E284" s="44"/>
      <c r="F284" s="43"/>
      <c r="G284" s="44"/>
      <c r="H284" s="43"/>
      <c r="I284" s="44"/>
      <c r="J284" s="43"/>
      <c r="K284" s="44"/>
      <c r="L284" s="43"/>
      <c r="M284" s="44"/>
      <c r="N284" s="43"/>
      <c r="O284" s="44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17"/>
      <c r="B285" s="17"/>
      <c r="C285" s="43"/>
      <c r="D285" s="43"/>
      <c r="E285" s="44"/>
      <c r="F285" s="43"/>
      <c r="G285" s="44"/>
      <c r="H285" s="43"/>
      <c r="I285" s="44"/>
      <c r="J285" s="43"/>
      <c r="K285" s="44"/>
      <c r="L285" s="43"/>
      <c r="M285" s="44"/>
      <c r="N285" s="43"/>
      <c r="O285" s="44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17"/>
      <c r="B286" s="17"/>
      <c r="C286" s="43"/>
      <c r="D286" s="43"/>
      <c r="E286" s="44"/>
      <c r="F286" s="43"/>
      <c r="G286" s="44"/>
      <c r="H286" s="43"/>
      <c r="I286" s="44"/>
      <c r="J286" s="43"/>
      <c r="K286" s="44"/>
      <c r="L286" s="43"/>
      <c r="M286" s="44"/>
      <c r="N286" s="43"/>
      <c r="O286" s="44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17"/>
      <c r="B287" s="17"/>
      <c r="C287" s="43"/>
      <c r="D287" s="43"/>
      <c r="E287" s="44"/>
      <c r="F287" s="43"/>
      <c r="G287" s="44"/>
      <c r="H287" s="43"/>
      <c r="I287" s="44"/>
      <c r="J287" s="43"/>
      <c r="K287" s="44"/>
      <c r="L287" s="43"/>
      <c r="M287" s="44"/>
      <c r="N287" s="43"/>
      <c r="O287" s="44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17"/>
      <c r="B288" s="17"/>
      <c r="C288" s="43"/>
      <c r="D288" s="43"/>
      <c r="E288" s="44"/>
      <c r="F288" s="43"/>
      <c r="G288" s="44"/>
      <c r="H288" s="43"/>
      <c r="I288" s="44"/>
      <c r="J288" s="43"/>
      <c r="K288" s="44"/>
      <c r="L288" s="43"/>
      <c r="M288" s="44"/>
      <c r="N288" s="43"/>
      <c r="O288" s="44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17"/>
      <c r="B289" s="17"/>
      <c r="C289" s="43"/>
      <c r="D289" s="43"/>
      <c r="E289" s="44"/>
      <c r="F289" s="43"/>
      <c r="G289" s="44"/>
      <c r="H289" s="43"/>
      <c r="I289" s="44"/>
      <c r="J289" s="43"/>
      <c r="K289" s="44"/>
      <c r="L289" s="43"/>
      <c r="M289" s="44"/>
      <c r="N289" s="43"/>
      <c r="O289" s="44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17"/>
      <c r="B290" s="17"/>
      <c r="C290" s="43"/>
      <c r="D290" s="43"/>
      <c r="E290" s="44"/>
      <c r="F290" s="43"/>
      <c r="G290" s="44"/>
      <c r="H290" s="43"/>
      <c r="I290" s="44"/>
      <c r="J290" s="43"/>
      <c r="K290" s="44"/>
      <c r="L290" s="43"/>
      <c r="M290" s="44"/>
      <c r="N290" s="43"/>
      <c r="O290" s="44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17"/>
      <c r="B291" s="17"/>
      <c r="C291" s="43"/>
      <c r="D291" s="43"/>
      <c r="E291" s="44"/>
      <c r="F291" s="43"/>
      <c r="G291" s="44"/>
      <c r="H291" s="43"/>
      <c r="I291" s="44"/>
      <c r="J291" s="43"/>
      <c r="K291" s="44"/>
      <c r="L291" s="43"/>
      <c r="M291" s="44"/>
      <c r="N291" s="43"/>
      <c r="O291" s="44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17"/>
      <c r="B292" s="17"/>
      <c r="C292" s="43"/>
      <c r="D292" s="43"/>
      <c r="E292" s="44"/>
      <c r="F292" s="43"/>
      <c r="G292" s="44"/>
      <c r="H292" s="43"/>
      <c r="I292" s="44"/>
      <c r="J292" s="43"/>
      <c r="K292" s="44"/>
      <c r="L292" s="43"/>
      <c r="M292" s="44"/>
      <c r="N292" s="43"/>
      <c r="O292" s="44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17"/>
      <c r="B293" s="17"/>
      <c r="C293" s="43"/>
      <c r="D293" s="43"/>
      <c r="E293" s="44"/>
      <c r="F293" s="43"/>
      <c r="G293" s="44"/>
      <c r="H293" s="43"/>
      <c r="I293" s="44"/>
      <c r="J293" s="43"/>
      <c r="K293" s="44"/>
      <c r="L293" s="43"/>
      <c r="M293" s="44"/>
      <c r="N293" s="43"/>
      <c r="O293" s="44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17"/>
      <c r="B294" s="17"/>
      <c r="C294" s="43"/>
      <c r="D294" s="43"/>
      <c r="E294" s="44"/>
      <c r="F294" s="43"/>
      <c r="G294" s="44"/>
      <c r="H294" s="43"/>
      <c r="I294" s="44"/>
      <c r="J294" s="43"/>
      <c r="K294" s="44"/>
      <c r="L294" s="43"/>
      <c r="M294" s="44"/>
      <c r="N294" s="43"/>
      <c r="O294" s="44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17"/>
      <c r="B295" s="17"/>
      <c r="C295" s="43"/>
      <c r="D295" s="43"/>
      <c r="E295" s="44"/>
      <c r="F295" s="43"/>
      <c r="G295" s="44"/>
      <c r="H295" s="43"/>
      <c r="I295" s="44"/>
      <c r="J295" s="43"/>
      <c r="K295" s="44"/>
      <c r="L295" s="43"/>
      <c r="M295" s="44"/>
      <c r="N295" s="43"/>
      <c r="O295" s="44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17"/>
      <c r="B296" s="17"/>
      <c r="C296" s="43"/>
      <c r="D296" s="43"/>
      <c r="E296" s="44"/>
      <c r="F296" s="43"/>
      <c r="G296" s="44"/>
      <c r="H296" s="43"/>
      <c r="I296" s="44"/>
      <c r="J296" s="43"/>
      <c r="K296" s="44"/>
      <c r="L296" s="43"/>
      <c r="M296" s="44"/>
      <c r="N296" s="43"/>
      <c r="O296" s="44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17"/>
      <c r="B297" s="17"/>
      <c r="C297" s="43"/>
      <c r="D297" s="43"/>
      <c r="E297" s="44"/>
      <c r="F297" s="43"/>
      <c r="G297" s="44"/>
      <c r="H297" s="43"/>
      <c r="I297" s="44"/>
      <c r="J297" s="43"/>
      <c r="K297" s="44"/>
      <c r="L297" s="43"/>
      <c r="M297" s="44"/>
      <c r="N297" s="43"/>
      <c r="O297" s="44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17"/>
      <c r="B298" s="17"/>
      <c r="C298" s="43"/>
      <c r="D298" s="43"/>
      <c r="E298" s="44"/>
      <c r="F298" s="43"/>
      <c r="G298" s="44"/>
      <c r="H298" s="43"/>
      <c r="I298" s="44"/>
      <c r="J298" s="43"/>
      <c r="K298" s="44"/>
      <c r="L298" s="43"/>
      <c r="M298" s="44"/>
      <c r="N298" s="43"/>
      <c r="O298" s="44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17"/>
      <c r="B299" s="17"/>
      <c r="C299" s="43"/>
      <c r="D299" s="43"/>
      <c r="E299" s="44"/>
      <c r="F299" s="43"/>
      <c r="G299" s="44"/>
      <c r="H299" s="43"/>
      <c r="I299" s="44"/>
      <c r="J299" s="43"/>
      <c r="K299" s="44"/>
      <c r="L299" s="43"/>
      <c r="M299" s="44"/>
      <c r="N299" s="43"/>
      <c r="O299" s="44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17"/>
      <c r="B300" s="17"/>
      <c r="C300" s="43"/>
      <c r="D300" s="43"/>
      <c r="E300" s="44"/>
      <c r="F300" s="43"/>
      <c r="G300" s="44"/>
      <c r="H300" s="43"/>
      <c r="I300" s="44"/>
      <c r="J300" s="43"/>
      <c r="K300" s="44"/>
      <c r="L300" s="43"/>
      <c r="M300" s="44"/>
      <c r="N300" s="43"/>
      <c r="O300" s="44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17"/>
      <c r="B301" s="17"/>
      <c r="C301" s="43"/>
      <c r="D301" s="43"/>
      <c r="E301" s="44"/>
      <c r="F301" s="43"/>
      <c r="G301" s="44"/>
      <c r="H301" s="43"/>
      <c r="I301" s="44"/>
      <c r="J301" s="43"/>
      <c r="K301" s="44"/>
      <c r="L301" s="43"/>
      <c r="M301" s="44"/>
      <c r="N301" s="43"/>
      <c r="O301" s="44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17"/>
      <c r="B302" s="17"/>
      <c r="C302" s="43"/>
      <c r="D302" s="43"/>
      <c r="E302" s="44"/>
      <c r="F302" s="43"/>
      <c r="G302" s="44"/>
      <c r="H302" s="43"/>
      <c r="I302" s="44"/>
      <c r="J302" s="43"/>
      <c r="K302" s="44"/>
      <c r="L302" s="43"/>
      <c r="M302" s="44"/>
      <c r="N302" s="43"/>
      <c r="O302" s="44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17"/>
      <c r="B303" s="17"/>
      <c r="C303" s="43"/>
      <c r="D303" s="43"/>
      <c r="E303" s="44"/>
      <c r="F303" s="43"/>
      <c r="G303" s="44"/>
      <c r="H303" s="43"/>
      <c r="I303" s="44"/>
      <c r="J303" s="43"/>
      <c r="K303" s="44"/>
      <c r="L303" s="43"/>
      <c r="M303" s="44"/>
      <c r="N303" s="43"/>
      <c r="O303" s="44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17"/>
      <c r="B304" s="17"/>
      <c r="C304" s="43"/>
      <c r="D304" s="43"/>
      <c r="E304" s="44"/>
      <c r="F304" s="43"/>
      <c r="G304" s="44"/>
      <c r="H304" s="43"/>
      <c r="I304" s="44"/>
      <c r="J304" s="43"/>
      <c r="K304" s="44"/>
      <c r="L304" s="43"/>
      <c r="M304" s="44"/>
      <c r="N304" s="43"/>
      <c r="O304" s="44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17"/>
      <c r="B305" s="17"/>
      <c r="C305" s="43"/>
      <c r="D305" s="43"/>
      <c r="E305" s="44"/>
      <c r="F305" s="43"/>
      <c r="G305" s="44"/>
      <c r="H305" s="43"/>
      <c r="I305" s="44"/>
      <c r="J305" s="43"/>
      <c r="K305" s="44"/>
      <c r="L305" s="43"/>
      <c r="M305" s="44"/>
      <c r="N305" s="43"/>
      <c r="O305" s="44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17"/>
      <c r="B306" s="17"/>
      <c r="C306" s="43"/>
      <c r="D306" s="43"/>
      <c r="E306" s="44"/>
      <c r="F306" s="43"/>
      <c r="G306" s="44"/>
      <c r="H306" s="43"/>
      <c r="I306" s="44"/>
      <c r="J306" s="43"/>
      <c r="K306" s="44"/>
      <c r="L306" s="43"/>
      <c r="M306" s="44"/>
      <c r="N306" s="43"/>
      <c r="O306" s="44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17"/>
      <c r="B307" s="17"/>
      <c r="C307" s="43"/>
      <c r="D307" s="43"/>
      <c r="E307" s="44"/>
      <c r="F307" s="43"/>
      <c r="G307" s="44"/>
      <c r="H307" s="43"/>
      <c r="I307" s="44"/>
      <c r="J307" s="43"/>
      <c r="K307" s="44"/>
      <c r="L307" s="43"/>
      <c r="M307" s="44"/>
      <c r="N307" s="43"/>
      <c r="O307" s="44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17"/>
      <c r="B308" s="17"/>
      <c r="C308" s="43"/>
      <c r="D308" s="43"/>
      <c r="E308" s="44"/>
      <c r="F308" s="43"/>
      <c r="G308" s="44"/>
      <c r="H308" s="43"/>
      <c r="I308" s="44"/>
      <c r="J308" s="43"/>
      <c r="K308" s="44"/>
      <c r="L308" s="43"/>
      <c r="M308" s="44"/>
      <c r="N308" s="43"/>
      <c r="O308" s="44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17"/>
      <c r="B309" s="17"/>
      <c r="C309" s="43"/>
      <c r="D309" s="43"/>
      <c r="E309" s="44"/>
      <c r="F309" s="43"/>
      <c r="G309" s="44"/>
      <c r="H309" s="43"/>
      <c r="I309" s="44"/>
      <c r="J309" s="43"/>
      <c r="K309" s="44"/>
      <c r="L309" s="43"/>
      <c r="M309" s="44"/>
      <c r="N309" s="43"/>
      <c r="O309" s="44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17"/>
      <c r="B310" s="17"/>
      <c r="C310" s="43"/>
      <c r="D310" s="43"/>
      <c r="E310" s="44"/>
      <c r="F310" s="43"/>
      <c r="G310" s="44"/>
      <c r="H310" s="43"/>
      <c r="I310" s="44"/>
      <c r="J310" s="43"/>
      <c r="K310" s="44"/>
      <c r="L310" s="43"/>
      <c r="M310" s="44"/>
      <c r="N310" s="43"/>
      <c r="O310" s="44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17"/>
      <c r="B311" s="17"/>
      <c r="C311" s="43"/>
      <c r="D311" s="43"/>
      <c r="E311" s="44"/>
      <c r="F311" s="43"/>
      <c r="G311" s="44"/>
      <c r="H311" s="43"/>
      <c r="I311" s="44"/>
      <c r="J311" s="43"/>
      <c r="K311" s="44"/>
      <c r="L311" s="43"/>
      <c r="M311" s="44"/>
      <c r="N311" s="43"/>
      <c r="O311" s="44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17"/>
      <c r="B312" s="17"/>
      <c r="C312" s="43"/>
      <c r="D312" s="43"/>
      <c r="E312" s="44"/>
      <c r="F312" s="43"/>
      <c r="G312" s="44"/>
      <c r="H312" s="43"/>
      <c r="I312" s="44"/>
      <c r="J312" s="43"/>
      <c r="K312" s="44"/>
      <c r="L312" s="43"/>
      <c r="M312" s="44"/>
      <c r="N312" s="43"/>
      <c r="O312" s="44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17"/>
      <c r="B313" s="17"/>
      <c r="C313" s="43"/>
      <c r="D313" s="43"/>
      <c r="E313" s="44"/>
      <c r="F313" s="43"/>
      <c r="G313" s="44"/>
      <c r="H313" s="43"/>
      <c r="I313" s="44"/>
      <c r="J313" s="43"/>
      <c r="K313" s="44"/>
      <c r="L313" s="43"/>
      <c r="M313" s="44"/>
      <c r="N313" s="43"/>
      <c r="O313" s="44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17"/>
      <c r="B314" s="17"/>
      <c r="C314" s="43"/>
      <c r="D314" s="43"/>
      <c r="E314" s="44"/>
      <c r="F314" s="43"/>
      <c r="G314" s="44"/>
      <c r="H314" s="43"/>
      <c r="I314" s="44"/>
      <c r="J314" s="43"/>
      <c r="K314" s="44"/>
      <c r="L314" s="43"/>
      <c r="M314" s="44"/>
      <c r="N314" s="43"/>
      <c r="O314" s="44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17"/>
      <c r="B315" s="17"/>
      <c r="C315" s="43"/>
      <c r="D315" s="43"/>
      <c r="E315" s="44"/>
      <c r="F315" s="43"/>
      <c r="G315" s="44"/>
      <c r="H315" s="43"/>
      <c r="I315" s="44"/>
      <c r="J315" s="43"/>
      <c r="K315" s="44"/>
      <c r="L315" s="43"/>
      <c r="M315" s="44"/>
      <c r="N315" s="43"/>
      <c r="O315" s="44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17"/>
      <c r="B316" s="17"/>
      <c r="C316" s="43"/>
      <c r="D316" s="43"/>
      <c r="E316" s="44"/>
      <c r="F316" s="43"/>
      <c r="G316" s="44"/>
      <c r="H316" s="43"/>
      <c r="I316" s="44"/>
      <c r="J316" s="43"/>
      <c r="K316" s="44"/>
      <c r="L316" s="43"/>
      <c r="M316" s="44"/>
      <c r="N316" s="43"/>
      <c r="O316" s="44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17"/>
      <c r="B317" s="17"/>
      <c r="C317" s="43"/>
      <c r="D317" s="43"/>
      <c r="E317" s="44"/>
      <c r="F317" s="43"/>
      <c r="G317" s="44"/>
      <c r="H317" s="43"/>
      <c r="I317" s="44"/>
      <c r="J317" s="43"/>
      <c r="K317" s="44"/>
      <c r="L317" s="43"/>
      <c r="M317" s="44"/>
      <c r="N317" s="43"/>
      <c r="O317" s="44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17"/>
      <c r="B318" s="17"/>
      <c r="C318" s="43"/>
      <c r="D318" s="43"/>
      <c r="E318" s="44"/>
      <c r="F318" s="43"/>
      <c r="G318" s="44"/>
      <c r="H318" s="43"/>
      <c r="I318" s="44"/>
      <c r="J318" s="43"/>
      <c r="K318" s="44"/>
      <c r="L318" s="43"/>
      <c r="M318" s="44"/>
      <c r="N318" s="43"/>
      <c r="O318" s="44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17"/>
      <c r="B319" s="17"/>
      <c r="C319" s="43"/>
      <c r="D319" s="43"/>
      <c r="E319" s="44"/>
      <c r="F319" s="43"/>
      <c r="G319" s="44"/>
      <c r="H319" s="43"/>
      <c r="I319" s="44"/>
      <c r="J319" s="43"/>
      <c r="K319" s="44"/>
      <c r="L319" s="43"/>
      <c r="M319" s="44"/>
      <c r="N319" s="43"/>
      <c r="O319" s="44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17"/>
      <c r="B320" s="17"/>
      <c r="C320" s="43"/>
      <c r="D320" s="43"/>
      <c r="E320" s="44"/>
      <c r="F320" s="43"/>
      <c r="G320" s="44"/>
      <c r="H320" s="43"/>
      <c r="I320" s="44"/>
      <c r="J320" s="43"/>
      <c r="K320" s="44"/>
      <c r="L320" s="43"/>
      <c r="M320" s="44"/>
      <c r="N320" s="43"/>
      <c r="O320" s="44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17"/>
      <c r="B321" s="17"/>
      <c r="C321" s="43"/>
      <c r="D321" s="43"/>
      <c r="E321" s="44"/>
      <c r="F321" s="43"/>
      <c r="G321" s="44"/>
      <c r="H321" s="43"/>
      <c r="I321" s="44"/>
      <c r="J321" s="43"/>
      <c r="K321" s="44"/>
      <c r="L321" s="43"/>
      <c r="M321" s="44"/>
      <c r="N321" s="43"/>
      <c r="O321" s="44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17"/>
      <c r="B322" s="17"/>
      <c r="C322" s="43"/>
      <c r="D322" s="43"/>
      <c r="E322" s="44"/>
      <c r="F322" s="43"/>
      <c r="G322" s="44"/>
      <c r="H322" s="43"/>
      <c r="I322" s="44"/>
      <c r="J322" s="43"/>
      <c r="K322" s="44"/>
      <c r="L322" s="43"/>
      <c r="M322" s="44"/>
      <c r="N322" s="43"/>
      <c r="O322" s="44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17"/>
      <c r="B323" s="17"/>
      <c r="C323" s="43"/>
      <c r="D323" s="43"/>
      <c r="E323" s="44"/>
      <c r="F323" s="43"/>
      <c r="G323" s="44"/>
      <c r="H323" s="43"/>
      <c r="I323" s="44"/>
      <c r="J323" s="43"/>
      <c r="K323" s="44"/>
      <c r="L323" s="43"/>
      <c r="M323" s="44"/>
      <c r="N323" s="43"/>
      <c r="O323" s="44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17"/>
      <c r="B324" s="17"/>
      <c r="C324" s="43"/>
      <c r="D324" s="43"/>
      <c r="E324" s="44"/>
      <c r="F324" s="43"/>
      <c r="G324" s="44"/>
      <c r="H324" s="43"/>
      <c r="I324" s="44"/>
      <c r="J324" s="43"/>
      <c r="K324" s="44"/>
      <c r="L324" s="43"/>
      <c r="M324" s="44"/>
      <c r="N324" s="43"/>
      <c r="O324" s="44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17"/>
      <c r="B325" s="17"/>
      <c r="C325" s="43"/>
      <c r="D325" s="43"/>
      <c r="E325" s="44"/>
      <c r="F325" s="43"/>
      <c r="G325" s="44"/>
      <c r="H325" s="43"/>
      <c r="I325" s="44"/>
      <c r="J325" s="43"/>
      <c r="K325" s="44"/>
      <c r="L325" s="43"/>
      <c r="M325" s="44"/>
      <c r="N325" s="43"/>
      <c r="O325" s="44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17"/>
      <c r="B326" s="17"/>
      <c r="C326" s="43"/>
      <c r="D326" s="43"/>
      <c r="E326" s="44"/>
      <c r="F326" s="43"/>
      <c r="G326" s="44"/>
      <c r="H326" s="43"/>
      <c r="I326" s="44"/>
      <c r="J326" s="43"/>
      <c r="K326" s="44"/>
      <c r="L326" s="43"/>
      <c r="M326" s="44"/>
      <c r="N326" s="43"/>
      <c r="O326" s="44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17"/>
      <c r="B327" s="17"/>
      <c r="C327" s="43"/>
      <c r="D327" s="43"/>
      <c r="E327" s="44"/>
      <c r="F327" s="43"/>
      <c r="G327" s="44"/>
      <c r="H327" s="43"/>
      <c r="I327" s="44"/>
      <c r="J327" s="43"/>
      <c r="K327" s="44"/>
      <c r="L327" s="43"/>
      <c r="M327" s="44"/>
      <c r="N327" s="43"/>
      <c r="O327" s="44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17"/>
      <c r="B328" s="17"/>
      <c r="C328" s="43"/>
      <c r="D328" s="43"/>
      <c r="E328" s="44"/>
      <c r="F328" s="43"/>
      <c r="G328" s="44"/>
      <c r="H328" s="43"/>
      <c r="I328" s="44"/>
      <c r="J328" s="43"/>
      <c r="K328" s="44"/>
      <c r="L328" s="43"/>
      <c r="M328" s="44"/>
      <c r="N328" s="43"/>
      <c r="O328" s="44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17"/>
      <c r="B329" s="17"/>
      <c r="C329" s="43"/>
      <c r="D329" s="43"/>
      <c r="E329" s="44"/>
      <c r="F329" s="43"/>
      <c r="G329" s="44"/>
      <c r="H329" s="43"/>
      <c r="I329" s="44"/>
      <c r="J329" s="43"/>
      <c r="K329" s="44"/>
      <c r="L329" s="43"/>
      <c r="M329" s="44"/>
      <c r="N329" s="43"/>
      <c r="O329" s="44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17"/>
      <c r="B330" s="17"/>
      <c r="C330" s="43"/>
      <c r="D330" s="43"/>
      <c r="E330" s="44"/>
      <c r="F330" s="43"/>
      <c r="G330" s="44"/>
      <c r="H330" s="43"/>
      <c r="I330" s="44"/>
      <c r="J330" s="43"/>
      <c r="K330" s="44"/>
      <c r="L330" s="43"/>
      <c r="M330" s="44"/>
      <c r="N330" s="43"/>
      <c r="O330" s="44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17"/>
      <c r="B331" s="17"/>
      <c r="C331" s="43"/>
      <c r="D331" s="43"/>
      <c r="E331" s="44"/>
      <c r="F331" s="43"/>
      <c r="G331" s="44"/>
      <c r="H331" s="43"/>
      <c r="I331" s="44"/>
      <c r="J331" s="43"/>
      <c r="K331" s="44"/>
      <c r="L331" s="43"/>
      <c r="M331" s="44"/>
      <c r="N331" s="43"/>
      <c r="O331" s="44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17"/>
      <c r="B332" s="17"/>
      <c r="C332" s="43"/>
      <c r="D332" s="43"/>
      <c r="E332" s="44"/>
      <c r="F332" s="43"/>
      <c r="G332" s="44"/>
      <c r="H332" s="43"/>
      <c r="I332" s="44"/>
      <c r="J332" s="43"/>
      <c r="K332" s="44"/>
      <c r="L332" s="43"/>
      <c r="M332" s="44"/>
      <c r="N332" s="43"/>
      <c r="O332" s="44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17"/>
      <c r="B333" s="17"/>
      <c r="C333" s="43"/>
      <c r="D333" s="43"/>
      <c r="E333" s="44"/>
      <c r="F333" s="43"/>
      <c r="G333" s="44"/>
      <c r="H333" s="43"/>
      <c r="I333" s="44"/>
      <c r="J333" s="43"/>
      <c r="K333" s="44"/>
      <c r="L333" s="43"/>
      <c r="M333" s="44"/>
      <c r="N333" s="43"/>
      <c r="O333" s="44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17"/>
      <c r="B334" s="17"/>
      <c r="C334" s="43"/>
      <c r="D334" s="43"/>
      <c r="E334" s="44"/>
      <c r="F334" s="43"/>
      <c r="G334" s="44"/>
      <c r="H334" s="43"/>
      <c r="I334" s="44"/>
      <c r="J334" s="43"/>
      <c r="K334" s="44"/>
      <c r="L334" s="43"/>
      <c r="M334" s="44"/>
      <c r="N334" s="43"/>
      <c r="O334" s="44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17"/>
      <c r="B335" s="17"/>
      <c r="C335" s="43"/>
      <c r="D335" s="43"/>
      <c r="E335" s="44"/>
      <c r="F335" s="43"/>
      <c r="G335" s="44"/>
      <c r="H335" s="43"/>
      <c r="I335" s="44"/>
      <c r="J335" s="43"/>
      <c r="K335" s="44"/>
      <c r="L335" s="43"/>
      <c r="M335" s="44"/>
      <c r="N335" s="43"/>
      <c r="O335" s="44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17"/>
      <c r="B336" s="17"/>
      <c r="C336" s="43"/>
      <c r="D336" s="43"/>
      <c r="E336" s="44"/>
      <c r="F336" s="43"/>
      <c r="G336" s="44"/>
      <c r="H336" s="43"/>
      <c r="I336" s="44"/>
      <c r="J336" s="43"/>
      <c r="K336" s="44"/>
      <c r="L336" s="43"/>
      <c r="M336" s="44"/>
      <c r="N336" s="43"/>
      <c r="O336" s="44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17"/>
      <c r="B337" s="17"/>
      <c r="C337" s="43"/>
      <c r="D337" s="43"/>
      <c r="E337" s="44"/>
      <c r="F337" s="43"/>
      <c r="G337" s="44"/>
      <c r="H337" s="43"/>
      <c r="I337" s="44"/>
      <c r="J337" s="43"/>
      <c r="K337" s="44"/>
      <c r="L337" s="43"/>
      <c r="M337" s="44"/>
      <c r="N337" s="43"/>
      <c r="O337" s="44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17"/>
      <c r="B338" s="17"/>
      <c r="C338" s="43"/>
      <c r="D338" s="43"/>
      <c r="E338" s="44"/>
      <c r="F338" s="43"/>
      <c r="G338" s="44"/>
      <c r="H338" s="43"/>
      <c r="I338" s="44"/>
      <c r="J338" s="43"/>
      <c r="K338" s="44"/>
      <c r="L338" s="43"/>
      <c r="M338" s="44"/>
      <c r="N338" s="43"/>
      <c r="O338" s="44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17"/>
      <c r="B339" s="17"/>
    </row>
    <row r="340" ht="15.75" customHeight="1">
      <c r="A340" s="17"/>
      <c r="B340" s="17"/>
    </row>
    <row r="341" ht="15.75" customHeight="1">
      <c r="A341" s="17"/>
      <c r="B341" s="17"/>
    </row>
    <row r="342" ht="15.75" customHeight="1">
      <c r="A342" s="17"/>
      <c r="B342" s="17"/>
    </row>
    <row r="343" ht="15.75" customHeight="1">
      <c r="A343" s="17"/>
      <c r="B343" s="17"/>
    </row>
    <row r="344" ht="15.75" customHeight="1">
      <c r="A344" s="17"/>
      <c r="B344" s="17"/>
    </row>
    <row r="345" ht="15.75" customHeight="1">
      <c r="A345" s="17"/>
      <c r="B345" s="17"/>
    </row>
    <row r="346" ht="15.75" customHeight="1">
      <c r="A346" s="17"/>
      <c r="B346" s="17"/>
    </row>
    <row r="347" ht="15.75" customHeight="1">
      <c r="A347" s="17"/>
      <c r="B347" s="17"/>
    </row>
    <row r="348" ht="15.75" customHeight="1">
      <c r="A348" s="17"/>
      <c r="B348" s="17"/>
    </row>
    <row r="349" ht="15.75" customHeight="1">
      <c r="A349" s="17"/>
      <c r="B349" s="17"/>
    </row>
    <row r="350" ht="15.75" customHeight="1">
      <c r="A350" s="17"/>
      <c r="B350" s="17"/>
    </row>
    <row r="351" ht="15.75" customHeight="1">
      <c r="A351" s="17"/>
      <c r="B351" s="17"/>
    </row>
    <row r="352" ht="15.75" customHeight="1">
      <c r="A352" s="17"/>
      <c r="B352" s="17"/>
    </row>
    <row r="353" ht="15.75" customHeight="1">
      <c r="A353" s="17"/>
      <c r="B353" s="17"/>
    </row>
    <row r="354" ht="15.75" customHeight="1">
      <c r="A354" s="17"/>
      <c r="B354" s="17"/>
    </row>
    <row r="355" ht="15.75" customHeight="1">
      <c r="A355" s="17"/>
      <c r="B355" s="17"/>
    </row>
    <row r="356" ht="15.75" customHeight="1">
      <c r="A356" s="17"/>
      <c r="B356" s="17"/>
    </row>
    <row r="357" ht="15.75" customHeight="1">
      <c r="A357" s="17"/>
      <c r="B357" s="17"/>
    </row>
    <row r="358" ht="15.75" customHeight="1">
      <c r="A358" s="17"/>
      <c r="B358" s="17"/>
    </row>
    <row r="359" ht="15.75" customHeight="1">
      <c r="A359" s="17"/>
      <c r="B359" s="17"/>
    </row>
    <row r="360" ht="15.75" customHeight="1">
      <c r="A360" s="17"/>
      <c r="B360" s="17"/>
    </row>
    <row r="361" ht="15.75" customHeight="1">
      <c r="A361" s="17"/>
      <c r="B361" s="17"/>
    </row>
    <row r="362" ht="15.75" customHeight="1">
      <c r="A362" s="17"/>
      <c r="B362" s="17"/>
    </row>
    <row r="363" ht="15.75" customHeight="1">
      <c r="A363" s="17"/>
      <c r="B363" s="17"/>
    </row>
    <row r="364" ht="15.75" customHeight="1">
      <c r="A364" s="17"/>
      <c r="B364" s="17"/>
    </row>
    <row r="365" ht="15.75" customHeight="1">
      <c r="A365" s="17"/>
      <c r="B365" s="17"/>
    </row>
    <row r="366" ht="15.75" customHeight="1">
      <c r="A366" s="17"/>
      <c r="B366" s="17"/>
    </row>
    <row r="367" ht="15.75" customHeight="1">
      <c r="A367" s="17"/>
      <c r="B367" s="17"/>
    </row>
    <row r="368" ht="15.75" customHeight="1">
      <c r="A368" s="17"/>
      <c r="B368" s="17"/>
    </row>
    <row r="369" ht="15.75" customHeight="1">
      <c r="A369" s="17"/>
      <c r="B369" s="17"/>
    </row>
    <row r="370" ht="15.75" customHeight="1">
      <c r="A370" s="17"/>
      <c r="B370" s="17"/>
    </row>
    <row r="371" ht="15.75" customHeight="1">
      <c r="A371" s="17"/>
      <c r="B371" s="17"/>
    </row>
    <row r="372" ht="15.75" customHeight="1">
      <c r="A372" s="17"/>
      <c r="B372" s="17"/>
    </row>
    <row r="373" ht="15.75" customHeight="1">
      <c r="A373" s="17"/>
      <c r="B373" s="17"/>
    </row>
    <row r="374" ht="15.75" customHeight="1">
      <c r="A374" s="17"/>
      <c r="B374" s="17"/>
    </row>
    <row r="375" ht="15.75" customHeight="1">
      <c r="A375" s="17"/>
      <c r="B375" s="17"/>
    </row>
    <row r="376" ht="15.75" customHeight="1">
      <c r="A376" s="17"/>
      <c r="B376" s="17"/>
    </row>
    <row r="377" ht="15.75" customHeight="1">
      <c r="A377" s="17"/>
      <c r="B377" s="17"/>
    </row>
    <row r="378" ht="15.75" customHeight="1">
      <c r="A378" s="17"/>
      <c r="B378" s="17"/>
    </row>
    <row r="379" ht="15.75" customHeight="1">
      <c r="A379" s="17"/>
      <c r="B379" s="17"/>
    </row>
    <row r="380" ht="15.75" customHeight="1">
      <c r="A380" s="17"/>
      <c r="B380" s="17"/>
    </row>
    <row r="381" ht="15.75" customHeight="1">
      <c r="A381" s="17"/>
      <c r="B381" s="17"/>
    </row>
    <row r="382" ht="15.75" customHeight="1">
      <c r="A382" s="17"/>
      <c r="B382" s="17"/>
    </row>
    <row r="383" ht="15.75" customHeight="1">
      <c r="A383" s="17"/>
      <c r="B383" s="17"/>
    </row>
    <row r="384" ht="15.75" customHeight="1">
      <c r="A384" s="17"/>
      <c r="B384" s="17"/>
    </row>
    <row r="385" ht="15.75" customHeight="1">
      <c r="A385" s="17"/>
      <c r="B385" s="17"/>
    </row>
    <row r="386" ht="15.75" customHeight="1">
      <c r="A386" s="17"/>
      <c r="B386" s="17"/>
    </row>
    <row r="387" ht="15.75" customHeight="1">
      <c r="A387" s="17"/>
      <c r="B387" s="17"/>
    </row>
    <row r="388" ht="15.75" customHeight="1">
      <c r="A388" s="17"/>
      <c r="B388" s="17"/>
    </row>
    <row r="389" ht="15.75" customHeight="1">
      <c r="A389" s="17"/>
      <c r="B389" s="17"/>
    </row>
    <row r="390" ht="15.75" customHeight="1">
      <c r="A390" s="17"/>
      <c r="B390" s="17"/>
    </row>
    <row r="391" ht="15.75" customHeight="1">
      <c r="A391" s="17"/>
      <c r="B391" s="17"/>
    </row>
    <row r="392" ht="15.75" customHeight="1">
      <c r="A392" s="17"/>
      <c r="B392" s="17"/>
    </row>
    <row r="393" ht="15.75" customHeight="1">
      <c r="A393" s="17"/>
      <c r="B393" s="17"/>
    </row>
    <row r="394" ht="15.75" customHeight="1">
      <c r="A394" s="17"/>
      <c r="B394" s="17"/>
    </row>
    <row r="395" ht="15.75" customHeight="1">
      <c r="A395" s="17"/>
      <c r="B395" s="17"/>
    </row>
    <row r="396" ht="15.75" customHeight="1">
      <c r="A396" s="17"/>
      <c r="B396" s="17"/>
    </row>
    <row r="397" ht="15.75" customHeight="1">
      <c r="A397" s="17"/>
      <c r="B397" s="17"/>
    </row>
    <row r="398" ht="15.75" customHeight="1">
      <c r="A398" s="17"/>
      <c r="B398" s="17"/>
    </row>
    <row r="399" ht="15.75" customHeight="1">
      <c r="A399" s="17"/>
      <c r="B399" s="17"/>
    </row>
    <row r="400" ht="15.75" customHeight="1">
      <c r="A400" s="17"/>
      <c r="B400" s="17"/>
    </row>
    <row r="401" ht="15.75" customHeight="1">
      <c r="A401" s="17"/>
      <c r="B401" s="17"/>
    </row>
    <row r="402" ht="15.75" customHeight="1">
      <c r="A402" s="17"/>
      <c r="B402" s="17"/>
    </row>
    <row r="403" ht="15.75" customHeight="1">
      <c r="A403" s="17"/>
      <c r="B403" s="17"/>
    </row>
    <row r="404" ht="15.75" customHeight="1">
      <c r="A404" s="17"/>
      <c r="B404" s="17"/>
    </row>
    <row r="405" ht="15.75" customHeight="1">
      <c r="A405" s="17"/>
      <c r="B405" s="17"/>
    </row>
    <row r="406" ht="15.75" customHeight="1">
      <c r="A406" s="17"/>
      <c r="B406" s="17"/>
    </row>
    <row r="407" ht="15.75" customHeight="1">
      <c r="A407" s="17"/>
      <c r="B407" s="17"/>
    </row>
    <row r="408" ht="15.75" customHeight="1">
      <c r="A408" s="17"/>
      <c r="B408" s="17"/>
    </row>
    <row r="409" ht="15.75" customHeight="1">
      <c r="A409" s="17"/>
      <c r="B409" s="17"/>
    </row>
    <row r="410" ht="15.75" customHeight="1">
      <c r="A410" s="17"/>
      <c r="B410" s="17"/>
    </row>
    <row r="411" ht="15.75" customHeight="1">
      <c r="A411" s="17"/>
      <c r="B411" s="17"/>
    </row>
    <row r="412" ht="15.75" customHeight="1">
      <c r="A412" s="17"/>
      <c r="B412" s="17"/>
    </row>
    <row r="413" ht="15.75" customHeight="1">
      <c r="A413" s="17"/>
      <c r="B413" s="17"/>
    </row>
    <row r="414" ht="15.75" customHeight="1">
      <c r="A414" s="17"/>
      <c r="B414" s="17"/>
    </row>
    <row r="415" ht="15.75" customHeight="1">
      <c r="A415" s="17"/>
      <c r="B415" s="17"/>
    </row>
    <row r="416" ht="15.75" customHeight="1">
      <c r="A416" s="17"/>
      <c r="B416" s="17"/>
    </row>
    <row r="417" ht="15.75" customHeight="1">
      <c r="A417" s="17"/>
      <c r="B417" s="17"/>
    </row>
    <row r="418" ht="15.75" customHeight="1">
      <c r="A418" s="17"/>
      <c r="B418" s="17"/>
    </row>
    <row r="419" ht="15.75" customHeight="1">
      <c r="A419" s="17"/>
      <c r="B419" s="17"/>
    </row>
    <row r="420" ht="15.75" customHeight="1">
      <c r="A420" s="17"/>
      <c r="B420" s="17"/>
    </row>
    <row r="421" ht="15.75" customHeight="1">
      <c r="A421" s="17"/>
      <c r="B421" s="17"/>
    </row>
    <row r="422" ht="15.75" customHeight="1">
      <c r="A422" s="17"/>
      <c r="B422" s="17"/>
    </row>
    <row r="423" ht="15.75" customHeight="1">
      <c r="A423" s="17"/>
      <c r="B423" s="17"/>
    </row>
    <row r="424" ht="15.75" customHeight="1">
      <c r="A424" s="17"/>
      <c r="B424" s="17"/>
    </row>
    <row r="425" ht="15.75" customHeight="1">
      <c r="A425" s="17"/>
      <c r="B425" s="17"/>
    </row>
    <row r="426" ht="15.75" customHeight="1">
      <c r="A426" s="17"/>
      <c r="B426" s="17"/>
    </row>
    <row r="427" ht="15.75" customHeight="1">
      <c r="A427" s="17"/>
      <c r="B427" s="17"/>
    </row>
    <row r="428" ht="15.75" customHeight="1">
      <c r="A428" s="17"/>
      <c r="B428" s="17"/>
    </row>
    <row r="429" ht="15.75" customHeight="1">
      <c r="A429" s="17"/>
      <c r="B429" s="17"/>
    </row>
    <row r="430" ht="15.75" customHeight="1">
      <c r="A430" s="17"/>
      <c r="B430" s="17"/>
    </row>
    <row r="431" ht="15.75" customHeight="1">
      <c r="A431" s="17"/>
      <c r="B431" s="17"/>
    </row>
    <row r="432" ht="15.75" customHeight="1">
      <c r="A432" s="17"/>
      <c r="B432" s="17"/>
    </row>
    <row r="433" ht="15.75" customHeight="1">
      <c r="A433" s="17"/>
      <c r="B433" s="17"/>
    </row>
    <row r="434" ht="15.75" customHeight="1">
      <c r="A434" s="17"/>
      <c r="B434" s="17"/>
    </row>
    <row r="435" ht="15.75" customHeight="1">
      <c r="A435" s="17"/>
      <c r="B435" s="17"/>
    </row>
    <row r="436" ht="15.75" customHeight="1">
      <c r="A436" s="17"/>
      <c r="B436" s="17"/>
    </row>
    <row r="437" ht="15.75" customHeight="1">
      <c r="A437" s="17"/>
      <c r="B437" s="17"/>
    </row>
    <row r="438" ht="15.75" customHeight="1">
      <c r="A438" s="17"/>
      <c r="B438" s="17"/>
    </row>
    <row r="439" ht="15.75" customHeight="1">
      <c r="A439" s="17"/>
      <c r="B439" s="17"/>
    </row>
    <row r="440" ht="15.75" customHeight="1">
      <c r="A440" s="17"/>
      <c r="B440" s="17"/>
    </row>
    <row r="441" ht="15.75" customHeight="1">
      <c r="A441" s="17"/>
      <c r="B441" s="17"/>
    </row>
    <row r="442" ht="15.75" customHeight="1">
      <c r="A442" s="17"/>
      <c r="B442" s="17"/>
    </row>
    <row r="443" ht="15.75" customHeight="1">
      <c r="A443" s="17"/>
      <c r="B443" s="17"/>
    </row>
    <row r="444" ht="15.75" customHeight="1">
      <c r="A444" s="17"/>
      <c r="B444" s="17"/>
    </row>
    <row r="445" ht="15.75" customHeight="1">
      <c r="A445" s="17"/>
      <c r="B445" s="17"/>
    </row>
    <row r="446" ht="15.75" customHeight="1">
      <c r="A446" s="17"/>
      <c r="B446" s="17"/>
    </row>
    <row r="447" ht="15.75" customHeight="1">
      <c r="A447" s="17"/>
      <c r="B447" s="17"/>
    </row>
    <row r="448" ht="15.75" customHeight="1">
      <c r="A448" s="17"/>
      <c r="B448" s="17"/>
    </row>
    <row r="449" ht="15.75" customHeight="1">
      <c r="A449" s="17"/>
      <c r="B449" s="17"/>
    </row>
    <row r="450" ht="15.75" customHeight="1">
      <c r="A450" s="17"/>
      <c r="B450" s="17"/>
    </row>
    <row r="451" ht="15.75" customHeight="1">
      <c r="A451" s="17"/>
      <c r="B451" s="17"/>
    </row>
    <row r="452" ht="15.75" customHeight="1">
      <c r="A452" s="17"/>
      <c r="B452" s="17"/>
    </row>
    <row r="453" ht="15.75" customHeight="1">
      <c r="A453" s="17"/>
      <c r="B453" s="17"/>
    </row>
    <row r="454" ht="15.75" customHeight="1">
      <c r="A454" s="17"/>
      <c r="B454" s="17"/>
    </row>
    <row r="455" ht="15.75" customHeight="1">
      <c r="A455" s="17"/>
      <c r="B455" s="17"/>
    </row>
    <row r="456" ht="15.75" customHeight="1">
      <c r="A456" s="17"/>
      <c r="B456" s="17"/>
    </row>
    <row r="457" ht="15.75" customHeight="1">
      <c r="A457" s="17"/>
      <c r="B457" s="17"/>
    </row>
    <row r="458" ht="15.75" customHeight="1">
      <c r="A458" s="17"/>
      <c r="B458" s="17"/>
    </row>
    <row r="459" ht="15.75" customHeight="1">
      <c r="A459" s="17"/>
      <c r="B459" s="17"/>
    </row>
    <row r="460" ht="15.75" customHeight="1">
      <c r="A460" s="17"/>
      <c r="B460" s="17"/>
    </row>
    <row r="461" ht="15.75" customHeight="1">
      <c r="A461" s="17"/>
      <c r="B461" s="17"/>
    </row>
    <row r="462" ht="15.75" customHeight="1">
      <c r="A462" s="17"/>
      <c r="B462" s="17"/>
    </row>
    <row r="463" ht="15.75" customHeight="1">
      <c r="A463" s="17"/>
      <c r="B463" s="17"/>
    </row>
    <row r="464" ht="15.75" customHeight="1">
      <c r="A464" s="17"/>
      <c r="B464" s="17"/>
    </row>
    <row r="465" ht="15.75" customHeight="1">
      <c r="A465" s="17"/>
      <c r="B465" s="17"/>
    </row>
    <row r="466" ht="15.75" customHeight="1">
      <c r="A466" s="17"/>
      <c r="B466" s="17"/>
    </row>
    <row r="467" ht="15.75" customHeight="1">
      <c r="A467" s="17"/>
      <c r="B467" s="17"/>
    </row>
    <row r="468" ht="15.75" customHeight="1">
      <c r="A468" s="17"/>
      <c r="B468" s="17"/>
    </row>
    <row r="469" ht="15.75" customHeight="1">
      <c r="A469" s="17"/>
      <c r="B469" s="17"/>
    </row>
    <row r="470" ht="15.75" customHeight="1">
      <c r="A470" s="17"/>
      <c r="B470" s="17"/>
    </row>
    <row r="471" ht="15.75" customHeight="1">
      <c r="A471" s="17"/>
      <c r="B471" s="17"/>
    </row>
    <row r="472" ht="15.75" customHeight="1">
      <c r="A472" s="17"/>
      <c r="B472" s="17"/>
    </row>
    <row r="473" ht="15.75" customHeight="1">
      <c r="A473" s="17"/>
      <c r="B473" s="17"/>
    </row>
    <row r="474" ht="15.75" customHeight="1">
      <c r="A474" s="17"/>
      <c r="B474" s="17"/>
    </row>
    <row r="475" ht="15.75" customHeight="1">
      <c r="A475" s="17"/>
      <c r="B475" s="17"/>
    </row>
    <row r="476" ht="15.75" customHeight="1">
      <c r="A476" s="17"/>
      <c r="B476" s="17"/>
    </row>
    <row r="477" ht="15.75" customHeight="1">
      <c r="A477" s="17"/>
      <c r="B477" s="17"/>
    </row>
    <row r="478" ht="15.75" customHeight="1">
      <c r="A478" s="17"/>
      <c r="B478" s="17"/>
    </row>
    <row r="479" ht="15.75" customHeight="1">
      <c r="A479" s="17"/>
      <c r="B479" s="17"/>
    </row>
    <row r="480" ht="15.75" customHeight="1">
      <c r="A480" s="17"/>
      <c r="B480" s="17"/>
    </row>
    <row r="481" ht="15.75" customHeight="1">
      <c r="A481" s="17"/>
      <c r="B481" s="17"/>
    </row>
    <row r="482" ht="15.75" customHeight="1">
      <c r="A482" s="17"/>
      <c r="B482" s="17"/>
    </row>
    <row r="483" ht="15.75" customHeight="1">
      <c r="A483" s="17"/>
      <c r="B483" s="17"/>
    </row>
    <row r="484" ht="15.75" customHeight="1">
      <c r="A484" s="17"/>
      <c r="B484" s="17"/>
    </row>
    <row r="485" ht="15.75" customHeight="1">
      <c r="A485" s="17"/>
      <c r="B485" s="17"/>
    </row>
    <row r="486" ht="15.75" customHeight="1">
      <c r="A486" s="17"/>
      <c r="B486" s="17"/>
    </row>
    <row r="487" ht="15.75" customHeight="1">
      <c r="A487" s="17"/>
      <c r="B487" s="17"/>
    </row>
    <row r="488" ht="15.75" customHeight="1">
      <c r="A488" s="17"/>
      <c r="B488" s="17"/>
    </row>
    <row r="489" ht="15.75" customHeight="1">
      <c r="A489" s="17"/>
      <c r="B489" s="17"/>
    </row>
    <row r="490" ht="15.75" customHeight="1">
      <c r="A490" s="17"/>
      <c r="B490" s="17"/>
    </row>
    <row r="491" ht="15.75" customHeight="1">
      <c r="A491" s="17"/>
      <c r="B491" s="17"/>
    </row>
    <row r="492" ht="15.75" customHeight="1">
      <c r="A492" s="17"/>
      <c r="B492" s="17"/>
    </row>
    <row r="493" ht="15.75" customHeight="1">
      <c r="A493" s="17"/>
      <c r="B493" s="17"/>
    </row>
    <row r="494" ht="15.75" customHeight="1">
      <c r="A494" s="17"/>
      <c r="B494" s="17"/>
    </row>
    <row r="495" ht="15.75" customHeight="1">
      <c r="A495" s="17"/>
      <c r="B495" s="17"/>
    </row>
    <row r="496" ht="15.75" customHeight="1">
      <c r="A496" s="17"/>
      <c r="B496" s="17"/>
    </row>
    <row r="497" ht="15.75" customHeight="1">
      <c r="A497" s="17"/>
      <c r="B497" s="17"/>
    </row>
    <row r="498" ht="15.75" customHeight="1">
      <c r="A498" s="17"/>
      <c r="B498" s="17"/>
    </row>
    <row r="499" ht="15.75" customHeight="1">
      <c r="A499" s="17"/>
      <c r="B499" s="17"/>
    </row>
    <row r="500" ht="15.75" customHeight="1">
      <c r="A500" s="17"/>
      <c r="B500" s="17"/>
    </row>
    <row r="501" ht="15.75" customHeight="1">
      <c r="A501" s="17"/>
      <c r="B501" s="17"/>
    </row>
    <row r="502" ht="15.75" customHeight="1">
      <c r="A502" s="17"/>
      <c r="B502" s="17"/>
    </row>
    <row r="503" ht="15.75" customHeight="1">
      <c r="A503" s="17"/>
      <c r="B503" s="17"/>
    </row>
    <row r="504" ht="15.75" customHeight="1">
      <c r="A504" s="17"/>
      <c r="B504" s="17"/>
    </row>
    <row r="505" ht="15.75" customHeight="1">
      <c r="A505" s="17"/>
      <c r="B505" s="17"/>
    </row>
    <row r="506" ht="15.75" customHeight="1">
      <c r="A506" s="17"/>
      <c r="B506" s="17"/>
    </row>
    <row r="507" ht="15.75" customHeight="1">
      <c r="A507" s="17"/>
      <c r="B507" s="17"/>
    </row>
    <row r="508" ht="15.75" customHeight="1">
      <c r="A508" s="17"/>
      <c r="B508" s="17"/>
    </row>
    <row r="509" ht="15.75" customHeight="1">
      <c r="A509" s="17"/>
      <c r="B509" s="17"/>
    </row>
    <row r="510" ht="15.75" customHeight="1">
      <c r="A510" s="17"/>
      <c r="B510" s="17"/>
    </row>
    <row r="511" ht="15.75" customHeight="1">
      <c r="A511" s="17"/>
      <c r="B511" s="17"/>
    </row>
    <row r="512" ht="15.75" customHeight="1">
      <c r="A512" s="17"/>
      <c r="B512" s="17"/>
    </row>
    <row r="513" ht="15.75" customHeight="1">
      <c r="A513" s="17"/>
      <c r="B513" s="17"/>
    </row>
    <row r="514" ht="15.75" customHeight="1">
      <c r="A514" s="17"/>
      <c r="B514" s="17"/>
    </row>
    <row r="515" ht="15.75" customHeight="1">
      <c r="A515" s="17"/>
      <c r="B515" s="17"/>
    </row>
    <row r="516" ht="15.75" customHeight="1">
      <c r="A516" s="17"/>
      <c r="B516" s="17"/>
    </row>
    <row r="517" ht="15.75" customHeight="1">
      <c r="A517" s="17"/>
      <c r="B517" s="17"/>
    </row>
    <row r="518" ht="15.75" customHeight="1">
      <c r="A518" s="17"/>
      <c r="B518" s="17"/>
    </row>
    <row r="519" ht="15.75" customHeight="1">
      <c r="A519" s="17"/>
      <c r="B519" s="17"/>
    </row>
    <row r="520" ht="15.75" customHeight="1">
      <c r="A520" s="17"/>
      <c r="B520" s="17"/>
    </row>
    <row r="521" ht="15.75" customHeight="1">
      <c r="A521" s="17"/>
      <c r="B521" s="17"/>
    </row>
    <row r="522" ht="15.75" customHeight="1">
      <c r="A522" s="17"/>
      <c r="B522" s="17"/>
    </row>
    <row r="523" ht="15.75" customHeight="1">
      <c r="A523" s="17"/>
      <c r="B523" s="17"/>
    </row>
    <row r="524" ht="15.75" customHeight="1">
      <c r="A524" s="17"/>
      <c r="B524" s="17"/>
    </row>
    <row r="525" ht="15.75" customHeight="1">
      <c r="A525" s="17"/>
      <c r="B525" s="17"/>
    </row>
    <row r="526" ht="15.75" customHeight="1">
      <c r="A526" s="17"/>
      <c r="B526" s="17"/>
    </row>
    <row r="527" ht="15.75" customHeight="1">
      <c r="A527" s="17"/>
      <c r="B527" s="17"/>
    </row>
    <row r="528" ht="15.75" customHeight="1">
      <c r="A528" s="17"/>
      <c r="B528" s="17"/>
    </row>
    <row r="529" ht="15.75" customHeight="1">
      <c r="A529" s="17"/>
      <c r="B529" s="17"/>
    </row>
    <row r="530" ht="15.75" customHeight="1">
      <c r="A530" s="17"/>
      <c r="B530" s="17"/>
    </row>
    <row r="531" ht="15.75" customHeight="1">
      <c r="A531" s="17"/>
      <c r="B531" s="17"/>
    </row>
    <row r="532" ht="15.75" customHeight="1">
      <c r="A532" s="17"/>
      <c r="B532" s="17"/>
    </row>
    <row r="533" ht="15.75" customHeight="1">
      <c r="A533" s="17"/>
      <c r="B533" s="17"/>
    </row>
    <row r="534" ht="15.75" customHeight="1">
      <c r="A534" s="17"/>
      <c r="B534" s="17"/>
    </row>
    <row r="535" ht="15.75" customHeight="1">
      <c r="A535" s="17"/>
      <c r="B535" s="17"/>
    </row>
    <row r="536" ht="15.75" customHeight="1">
      <c r="A536" s="17"/>
      <c r="B536" s="17"/>
    </row>
    <row r="537" ht="15.75" customHeight="1">
      <c r="A537" s="17"/>
      <c r="B537" s="17"/>
    </row>
    <row r="538" ht="15.75" customHeight="1">
      <c r="A538" s="17"/>
      <c r="B538" s="17"/>
    </row>
    <row r="539" ht="15.75" customHeight="1">
      <c r="A539" s="17"/>
      <c r="B539" s="17"/>
    </row>
    <row r="540" ht="15.75" customHeight="1">
      <c r="A540" s="17"/>
      <c r="B540" s="17"/>
    </row>
    <row r="541" ht="15.75" customHeight="1">
      <c r="A541" s="17"/>
      <c r="B541" s="17"/>
    </row>
    <row r="542" ht="15.75" customHeight="1">
      <c r="A542" s="17"/>
      <c r="B542" s="17"/>
    </row>
    <row r="543" ht="15.75" customHeight="1">
      <c r="A543" s="17"/>
      <c r="B543" s="17"/>
    </row>
    <row r="544" ht="15.75" customHeight="1">
      <c r="A544" s="17"/>
      <c r="B544" s="17"/>
    </row>
    <row r="545" ht="15.75" customHeight="1">
      <c r="A545" s="17"/>
      <c r="B545" s="17"/>
    </row>
    <row r="546" ht="15.75" customHeight="1">
      <c r="A546" s="17"/>
      <c r="B546" s="17"/>
    </row>
    <row r="547" ht="15.75" customHeight="1">
      <c r="A547" s="17"/>
      <c r="B547" s="17"/>
    </row>
    <row r="548" ht="15.75" customHeight="1">
      <c r="A548" s="17"/>
      <c r="B548" s="17"/>
    </row>
    <row r="549" ht="15.75" customHeight="1">
      <c r="A549" s="17"/>
      <c r="B549" s="17"/>
    </row>
    <row r="550" ht="15.75" customHeight="1">
      <c r="A550" s="17"/>
      <c r="B550" s="17"/>
    </row>
    <row r="551" ht="15.75" customHeight="1">
      <c r="A551" s="17"/>
      <c r="B551" s="17"/>
    </row>
    <row r="552" ht="15.75" customHeight="1">
      <c r="A552" s="17"/>
      <c r="B552" s="17"/>
    </row>
    <row r="553" ht="15.75" customHeight="1">
      <c r="A553" s="17"/>
      <c r="B553" s="17"/>
    </row>
    <row r="554" ht="15.75" customHeight="1">
      <c r="A554" s="17"/>
      <c r="B554" s="17"/>
    </row>
    <row r="555" ht="15.75" customHeight="1">
      <c r="A555" s="17"/>
      <c r="B555" s="17"/>
    </row>
    <row r="556" ht="15.75" customHeight="1">
      <c r="A556" s="17"/>
      <c r="B556" s="17"/>
    </row>
    <row r="557" ht="15.75" customHeight="1">
      <c r="A557" s="17"/>
      <c r="B557" s="17"/>
    </row>
    <row r="558" ht="15.75" customHeight="1">
      <c r="A558" s="17"/>
      <c r="B558" s="17"/>
    </row>
    <row r="559" ht="15.75" customHeight="1">
      <c r="A559" s="17"/>
      <c r="B559" s="17"/>
    </row>
    <row r="560" ht="15.75" customHeight="1">
      <c r="A560" s="17"/>
      <c r="B560" s="17"/>
    </row>
    <row r="561" ht="15.75" customHeight="1">
      <c r="A561" s="17"/>
      <c r="B561" s="17"/>
    </row>
    <row r="562" ht="15.75" customHeight="1">
      <c r="A562" s="17"/>
      <c r="B562" s="17"/>
    </row>
    <row r="563" ht="15.75" customHeight="1">
      <c r="A563" s="17"/>
      <c r="B563" s="17"/>
    </row>
    <row r="564" ht="15.75" customHeight="1">
      <c r="A564" s="17"/>
      <c r="B564" s="17"/>
    </row>
    <row r="565" ht="15.75" customHeight="1">
      <c r="A565" s="17"/>
      <c r="B565" s="17"/>
    </row>
    <row r="566" ht="15.75" customHeight="1">
      <c r="A566" s="17"/>
      <c r="B566" s="17"/>
    </row>
    <row r="567" ht="15.75" customHeight="1">
      <c r="A567" s="17"/>
      <c r="B567" s="17"/>
    </row>
    <row r="568" ht="15.75" customHeight="1">
      <c r="A568" s="17"/>
      <c r="B568" s="17"/>
    </row>
    <row r="569" ht="15.75" customHeight="1">
      <c r="A569" s="17"/>
      <c r="B569" s="17"/>
    </row>
    <row r="570" ht="15.75" customHeight="1">
      <c r="A570" s="17"/>
      <c r="B570" s="17"/>
    </row>
    <row r="571" ht="15.75" customHeight="1">
      <c r="A571" s="17"/>
      <c r="B571" s="17"/>
    </row>
    <row r="572" ht="15.75" customHeight="1">
      <c r="A572" s="17"/>
      <c r="B572" s="17"/>
    </row>
    <row r="573" ht="15.75" customHeight="1">
      <c r="A573" s="17"/>
      <c r="B573" s="17"/>
    </row>
    <row r="574" ht="15.75" customHeight="1">
      <c r="A574" s="17"/>
      <c r="B574" s="17"/>
    </row>
    <row r="575" ht="15.75" customHeight="1">
      <c r="A575" s="17"/>
      <c r="B575" s="17"/>
    </row>
    <row r="576" ht="15.75" customHeight="1">
      <c r="A576" s="17"/>
      <c r="B576" s="17"/>
    </row>
    <row r="577" ht="15.75" customHeight="1">
      <c r="A577" s="17"/>
      <c r="B577" s="17"/>
    </row>
    <row r="578" ht="15.75" customHeight="1">
      <c r="A578" s="17"/>
      <c r="B578" s="17"/>
    </row>
    <row r="579" ht="15.75" customHeight="1">
      <c r="A579" s="17"/>
      <c r="B579" s="17"/>
    </row>
    <row r="580" ht="15.75" customHeight="1">
      <c r="A580" s="17"/>
      <c r="B580" s="17"/>
    </row>
    <row r="581" ht="15.75" customHeight="1">
      <c r="A581" s="17"/>
      <c r="B581" s="17"/>
    </row>
    <row r="582" ht="15.75" customHeight="1">
      <c r="A582" s="17"/>
      <c r="B582" s="17"/>
    </row>
    <row r="583" ht="15.75" customHeight="1">
      <c r="A583" s="17"/>
      <c r="B583" s="17"/>
    </row>
    <row r="584" ht="15.75" customHeight="1">
      <c r="A584" s="17"/>
      <c r="B584" s="17"/>
    </row>
    <row r="585" ht="15.75" customHeight="1">
      <c r="A585" s="17"/>
      <c r="B585" s="17"/>
    </row>
    <row r="586" ht="15.75" customHeight="1">
      <c r="A586" s="17"/>
      <c r="B586" s="17"/>
    </row>
    <row r="587" ht="15.75" customHeight="1">
      <c r="A587" s="17"/>
      <c r="B587" s="17"/>
    </row>
    <row r="588" ht="15.75" customHeight="1">
      <c r="A588" s="17"/>
      <c r="B588" s="17"/>
    </row>
    <row r="589" ht="15.75" customHeight="1">
      <c r="A589" s="17"/>
      <c r="B589" s="17"/>
    </row>
    <row r="590" ht="15.75" customHeight="1">
      <c r="A590" s="17"/>
      <c r="B590" s="17"/>
    </row>
    <row r="591" ht="15.75" customHeight="1">
      <c r="A591" s="17"/>
      <c r="B591" s="17"/>
    </row>
    <row r="592" ht="15.75" customHeight="1">
      <c r="A592" s="17"/>
      <c r="B592" s="17"/>
    </row>
    <row r="593" ht="15.75" customHeight="1">
      <c r="A593" s="17"/>
      <c r="B593" s="17"/>
    </row>
    <row r="594" ht="15.75" customHeight="1">
      <c r="A594" s="17"/>
      <c r="B594" s="17"/>
    </row>
    <row r="595" ht="15.75" customHeight="1">
      <c r="A595" s="17"/>
      <c r="B595" s="17"/>
    </row>
    <row r="596" ht="15.75" customHeight="1">
      <c r="A596" s="17"/>
      <c r="B596" s="17"/>
    </row>
    <row r="597" ht="15.75" customHeight="1">
      <c r="A597" s="17"/>
      <c r="B597" s="17"/>
    </row>
    <row r="598" ht="15.75" customHeight="1">
      <c r="A598" s="17"/>
      <c r="B598" s="17"/>
    </row>
    <row r="599" ht="15.75" customHeight="1">
      <c r="A599" s="17"/>
      <c r="B599" s="17"/>
    </row>
    <row r="600" ht="15.75" customHeight="1">
      <c r="A600" s="17"/>
      <c r="B600" s="17"/>
    </row>
    <row r="601" ht="15.75" customHeight="1">
      <c r="A601" s="17"/>
      <c r="B601" s="17"/>
    </row>
    <row r="602" ht="15.75" customHeight="1">
      <c r="A602" s="17"/>
      <c r="B602" s="17"/>
    </row>
    <row r="603" ht="15.75" customHeight="1">
      <c r="A603" s="17"/>
      <c r="B603" s="17"/>
    </row>
    <row r="604" ht="15.75" customHeight="1">
      <c r="A604" s="17"/>
      <c r="B604" s="17"/>
    </row>
    <row r="605" ht="15.75" customHeight="1">
      <c r="A605" s="17"/>
      <c r="B605" s="17"/>
    </row>
    <row r="606" ht="15.75" customHeight="1">
      <c r="A606" s="17"/>
      <c r="B606" s="17"/>
    </row>
    <row r="607" ht="15.75" customHeight="1">
      <c r="A607" s="17"/>
      <c r="B607" s="17"/>
    </row>
    <row r="608" ht="15.75" customHeight="1">
      <c r="A608" s="17"/>
      <c r="B608" s="17"/>
    </row>
    <row r="609" ht="15.75" customHeight="1">
      <c r="A609" s="17"/>
      <c r="B609" s="17"/>
    </row>
    <row r="610" ht="15.75" customHeight="1">
      <c r="A610" s="17"/>
      <c r="B610" s="17"/>
    </row>
    <row r="611" ht="15.75" customHeight="1">
      <c r="A611" s="17"/>
      <c r="B611" s="17"/>
    </row>
    <row r="612" ht="15.75" customHeight="1">
      <c r="A612" s="17"/>
      <c r="B612" s="17"/>
    </row>
    <row r="613" ht="15.75" customHeight="1">
      <c r="A613" s="17"/>
      <c r="B613" s="17"/>
    </row>
    <row r="614" ht="15.75" customHeight="1">
      <c r="A614" s="17"/>
      <c r="B614" s="17"/>
    </row>
    <row r="615" ht="15.75" customHeight="1">
      <c r="A615" s="17"/>
      <c r="B615" s="17"/>
    </row>
    <row r="616" ht="15.75" customHeight="1">
      <c r="A616" s="17"/>
      <c r="B616" s="17"/>
    </row>
    <row r="617" ht="15.75" customHeight="1">
      <c r="A617" s="17"/>
      <c r="B617" s="17"/>
    </row>
    <row r="618" ht="15.75" customHeight="1">
      <c r="A618" s="17"/>
      <c r="B618" s="17"/>
    </row>
    <row r="619" ht="15.75" customHeight="1">
      <c r="A619" s="17"/>
      <c r="B619" s="17"/>
    </row>
    <row r="620" ht="15.75" customHeight="1">
      <c r="A620" s="17"/>
      <c r="B620" s="17"/>
    </row>
    <row r="621" ht="15.75" customHeight="1">
      <c r="A621" s="17"/>
      <c r="B621" s="17"/>
    </row>
    <row r="622" ht="15.75" customHeight="1">
      <c r="A622" s="17"/>
      <c r="B622" s="17"/>
    </row>
    <row r="623" ht="15.75" customHeight="1">
      <c r="A623" s="17"/>
      <c r="B623" s="17"/>
    </row>
    <row r="624" ht="15.75" customHeight="1">
      <c r="A624" s="17"/>
      <c r="B624" s="17"/>
    </row>
    <row r="625" ht="15.75" customHeight="1">
      <c r="A625" s="17"/>
      <c r="B625" s="17"/>
    </row>
    <row r="626" ht="15.75" customHeight="1">
      <c r="A626" s="17"/>
      <c r="B626" s="17"/>
    </row>
    <row r="627" ht="15.75" customHeight="1">
      <c r="A627" s="17"/>
      <c r="B627" s="17"/>
    </row>
    <row r="628" ht="15.75" customHeight="1">
      <c r="A628" s="17"/>
      <c r="B628" s="17"/>
    </row>
    <row r="629" ht="15.75" customHeight="1">
      <c r="A629" s="17"/>
      <c r="B629" s="17"/>
    </row>
    <row r="630" ht="15.75" customHeight="1">
      <c r="A630" s="17"/>
      <c r="B630" s="17"/>
    </row>
    <row r="631" ht="15.75" customHeight="1">
      <c r="A631" s="17"/>
      <c r="B631" s="17"/>
    </row>
    <row r="632" ht="15.75" customHeight="1">
      <c r="A632" s="17"/>
      <c r="B632" s="17"/>
    </row>
    <row r="633" ht="15.75" customHeight="1">
      <c r="A633" s="17"/>
      <c r="B633" s="17"/>
    </row>
    <row r="634" ht="15.75" customHeight="1">
      <c r="A634" s="17"/>
      <c r="B634" s="17"/>
    </row>
    <row r="635" ht="15.75" customHeight="1">
      <c r="A635" s="17"/>
      <c r="B635" s="17"/>
    </row>
    <row r="636" ht="15.75" customHeight="1">
      <c r="A636" s="17"/>
      <c r="B636" s="17"/>
    </row>
    <row r="637" ht="15.75" customHeight="1">
      <c r="A637" s="17"/>
      <c r="B637" s="17"/>
    </row>
    <row r="638" ht="15.75" customHeight="1">
      <c r="A638" s="17"/>
      <c r="B638" s="17"/>
    </row>
    <row r="639" ht="15.75" customHeight="1">
      <c r="A639" s="17"/>
      <c r="B639" s="17"/>
    </row>
    <row r="640" ht="15.75" customHeight="1">
      <c r="A640" s="17"/>
      <c r="B640" s="17"/>
    </row>
    <row r="641" ht="15.75" customHeight="1">
      <c r="A641" s="17"/>
      <c r="B641" s="17"/>
    </row>
    <row r="642" ht="15.75" customHeight="1">
      <c r="A642" s="17"/>
      <c r="B642" s="17"/>
    </row>
    <row r="643" ht="15.75" customHeight="1">
      <c r="A643" s="17"/>
      <c r="B643" s="17"/>
    </row>
    <row r="644" ht="15.75" customHeight="1">
      <c r="A644" s="17"/>
      <c r="B644" s="17"/>
    </row>
    <row r="645" ht="15.75" customHeight="1">
      <c r="A645" s="17"/>
      <c r="B645" s="17"/>
    </row>
    <row r="646" ht="15.75" customHeight="1">
      <c r="A646" s="17"/>
      <c r="B646" s="17"/>
    </row>
    <row r="647" ht="15.75" customHeight="1">
      <c r="A647" s="17"/>
      <c r="B647" s="17"/>
    </row>
    <row r="648" ht="15.75" customHeight="1">
      <c r="A648" s="17"/>
      <c r="B648" s="17"/>
    </row>
    <row r="649" ht="15.75" customHeight="1">
      <c r="A649" s="17"/>
      <c r="B649" s="17"/>
    </row>
    <row r="650" ht="15.75" customHeight="1">
      <c r="A650" s="17"/>
      <c r="B650" s="17"/>
    </row>
    <row r="651" ht="15.75" customHeight="1">
      <c r="A651" s="17"/>
      <c r="B651" s="17"/>
    </row>
    <row r="652" ht="15.75" customHeight="1">
      <c r="A652" s="17"/>
      <c r="B652" s="17"/>
    </row>
    <row r="653" ht="15.75" customHeight="1">
      <c r="A653" s="17"/>
      <c r="B653" s="17"/>
    </row>
    <row r="654" ht="15.75" customHeight="1">
      <c r="A654" s="17"/>
      <c r="B654" s="17"/>
    </row>
    <row r="655" ht="15.75" customHeight="1">
      <c r="A655" s="17"/>
      <c r="B655" s="17"/>
    </row>
    <row r="656" ht="15.75" customHeight="1">
      <c r="A656" s="17"/>
      <c r="B656" s="17"/>
    </row>
    <row r="657" ht="15.75" customHeight="1">
      <c r="A657" s="17"/>
      <c r="B657" s="17"/>
    </row>
    <row r="658" ht="15.75" customHeight="1">
      <c r="A658" s="17"/>
      <c r="B658" s="17"/>
    </row>
    <row r="659" ht="15.75" customHeight="1">
      <c r="A659" s="17"/>
      <c r="B659" s="17"/>
    </row>
    <row r="660" ht="15.75" customHeight="1">
      <c r="A660" s="17"/>
      <c r="B660" s="17"/>
    </row>
    <row r="661" ht="15.75" customHeight="1">
      <c r="A661" s="17"/>
      <c r="B661" s="17"/>
    </row>
    <row r="662" ht="15.75" customHeight="1">
      <c r="A662" s="17"/>
      <c r="B662" s="17"/>
    </row>
    <row r="663" ht="15.75" customHeight="1">
      <c r="A663" s="17"/>
      <c r="B663" s="17"/>
    </row>
    <row r="664" ht="15.75" customHeight="1">
      <c r="A664" s="17"/>
      <c r="B664" s="17"/>
    </row>
    <row r="665" ht="15.75" customHeight="1">
      <c r="A665" s="17"/>
      <c r="B665" s="17"/>
    </row>
    <row r="666" ht="15.75" customHeight="1">
      <c r="A666" s="17"/>
      <c r="B666" s="17"/>
    </row>
    <row r="667" ht="15.75" customHeight="1">
      <c r="A667" s="17"/>
      <c r="B667" s="17"/>
    </row>
    <row r="668" ht="15.75" customHeight="1">
      <c r="A668" s="17"/>
      <c r="B668" s="17"/>
    </row>
    <row r="669" ht="15.75" customHeight="1">
      <c r="A669" s="17"/>
      <c r="B669" s="17"/>
    </row>
    <row r="670" ht="15.75" customHeight="1">
      <c r="A670" s="17"/>
      <c r="B670" s="17"/>
    </row>
    <row r="671" ht="15.75" customHeight="1">
      <c r="A671" s="17"/>
      <c r="B671" s="17"/>
    </row>
    <row r="672" ht="15.75" customHeight="1">
      <c r="A672" s="17"/>
      <c r="B672" s="17"/>
    </row>
    <row r="673" ht="15.75" customHeight="1">
      <c r="A673" s="17"/>
      <c r="B673" s="17"/>
    </row>
    <row r="674" ht="15.75" customHeight="1">
      <c r="A674" s="17"/>
      <c r="B674" s="17"/>
    </row>
    <row r="675" ht="15.75" customHeight="1">
      <c r="A675" s="17"/>
      <c r="B675" s="17"/>
    </row>
    <row r="676" ht="15.75" customHeight="1">
      <c r="A676" s="17"/>
      <c r="B676" s="17"/>
    </row>
    <row r="677" ht="15.75" customHeight="1">
      <c r="A677" s="17"/>
      <c r="B677" s="17"/>
    </row>
    <row r="678" ht="15.75" customHeight="1">
      <c r="A678" s="17"/>
      <c r="B678" s="17"/>
    </row>
    <row r="679" ht="15.75" customHeight="1">
      <c r="A679" s="17"/>
      <c r="B679" s="17"/>
    </row>
    <row r="680" ht="15.75" customHeight="1">
      <c r="A680" s="17"/>
      <c r="B680" s="17"/>
    </row>
    <row r="681" ht="15.75" customHeight="1">
      <c r="A681" s="17"/>
      <c r="B681" s="17"/>
    </row>
    <row r="682" ht="15.75" customHeight="1">
      <c r="A682" s="17"/>
      <c r="B682" s="17"/>
    </row>
    <row r="683" ht="15.75" customHeight="1">
      <c r="A683" s="17"/>
      <c r="B683" s="17"/>
    </row>
    <row r="684" ht="15.75" customHeight="1">
      <c r="A684" s="17"/>
      <c r="B684" s="17"/>
    </row>
    <row r="685" ht="15.75" customHeight="1">
      <c r="A685" s="17"/>
      <c r="B685" s="17"/>
    </row>
    <row r="686" ht="15.75" customHeight="1">
      <c r="A686" s="17"/>
      <c r="B686" s="17"/>
    </row>
    <row r="687" ht="15.75" customHeight="1">
      <c r="A687" s="17"/>
      <c r="B687" s="17"/>
    </row>
    <row r="688" ht="15.75" customHeight="1">
      <c r="A688" s="17"/>
      <c r="B688" s="17"/>
    </row>
    <row r="689" ht="15.75" customHeight="1">
      <c r="A689" s="17"/>
      <c r="B689" s="17"/>
    </row>
    <row r="690" ht="15.75" customHeight="1">
      <c r="A690" s="17"/>
      <c r="B690" s="17"/>
    </row>
    <row r="691" ht="15.75" customHeight="1">
      <c r="A691" s="17"/>
      <c r="B691" s="17"/>
    </row>
    <row r="692" ht="15.75" customHeight="1">
      <c r="A692" s="17"/>
      <c r="B692" s="17"/>
    </row>
    <row r="693" ht="15.75" customHeight="1">
      <c r="A693" s="17"/>
      <c r="B693" s="17"/>
    </row>
    <row r="694" ht="15.75" customHeight="1">
      <c r="A694" s="17"/>
      <c r="B694" s="17"/>
    </row>
    <row r="695" ht="15.75" customHeight="1">
      <c r="A695" s="17"/>
      <c r="B695" s="17"/>
    </row>
    <row r="696" ht="15.75" customHeight="1">
      <c r="A696" s="17"/>
      <c r="B696" s="17"/>
    </row>
    <row r="697" ht="15.75" customHeight="1">
      <c r="A697" s="17"/>
      <c r="B697" s="17"/>
    </row>
    <row r="698" ht="15.75" customHeight="1">
      <c r="A698" s="17"/>
      <c r="B698" s="17"/>
    </row>
    <row r="699" ht="15.75" customHeight="1">
      <c r="A699" s="17"/>
      <c r="B699" s="17"/>
    </row>
    <row r="700" ht="15.75" customHeight="1">
      <c r="A700" s="17"/>
      <c r="B700" s="17"/>
    </row>
    <row r="701" ht="15.75" customHeight="1">
      <c r="A701" s="17"/>
      <c r="B701" s="17"/>
    </row>
    <row r="702" ht="15.75" customHeight="1">
      <c r="A702" s="17"/>
      <c r="B702" s="17"/>
    </row>
    <row r="703" ht="15.75" customHeight="1">
      <c r="A703" s="17"/>
      <c r="B703" s="17"/>
    </row>
    <row r="704" ht="15.75" customHeight="1">
      <c r="A704" s="17"/>
      <c r="B704" s="17"/>
    </row>
    <row r="705" ht="15.75" customHeight="1">
      <c r="A705" s="17"/>
      <c r="B705" s="17"/>
    </row>
    <row r="706" ht="15.75" customHeight="1">
      <c r="A706" s="17"/>
      <c r="B706" s="17"/>
    </row>
    <row r="707" ht="15.75" customHeight="1">
      <c r="A707" s="17"/>
      <c r="B707" s="17"/>
    </row>
    <row r="708" ht="15.75" customHeight="1">
      <c r="A708" s="17"/>
      <c r="B708" s="17"/>
    </row>
    <row r="709" ht="15.75" customHeight="1">
      <c r="A709" s="17"/>
      <c r="B709" s="17"/>
    </row>
    <row r="710" ht="15.75" customHeight="1">
      <c r="A710" s="17"/>
      <c r="B710" s="17"/>
    </row>
    <row r="711" ht="15.75" customHeight="1">
      <c r="A711" s="17"/>
      <c r="B711" s="17"/>
    </row>
    <row r="712" ht="15.75" customHeight="1">
      <c r="A712" s="17"/>
      <c r="B712" s="17"/>
    </row>
    <row r="713" ht="15.75" customHeight="1">
      <c r="A713" s="17"/>
      <c r="B713" s="17"/>
    </row>
    <row r="714" ht="15.75" customHeight="1">
      <c r="A714" s="17"/>
      <c r="B714" s="17"/>
    </row>
    <row r="715" ht="15.75" customHeight="1">
      <c r="A715" s="17"/>
      <c r="B715" s="17"/>
    </row>
    <row r="716" ht="15.75" customHeight="1">
      <c r="A716" s="17"/>
      <c r="B716" s="17"/>
    </row>
    <row r="717" ht="15.75" customHeight="1">
      <c r="A717" s="17"/>
      <c r="B717" s="17"/>
    </row>
    <row r="718" ht="15.75" customHeight="1">
      <c r="A718" s="17"/>
      <c r="B718" s="17"/>
    </row>
    <row r="719" ht="15.75" customHeight="1">
      <c r="A719" s="17"/>
      <c r="B719" s="17"/>
    </row>
    <row r="720" ht="15.75" customHeight="1">
      <c r="A720" s="17"/>
      <c r="B720" s="17"/>
    </row>
    <row r="721" ht="15.75" customHeight="1">
      <c r="A721" s="17"/>
      <c r="B721" s="17"/>
    </row>
    <row r="722" ht="15.75" customHeight="1">
      <c r="A722" s="17"/>
      <c r="B722" s="17"/>
    </row>
    <row r="723" ht="15.75" customHeight="1">
      <c r="A723" s="17"/>
      <c r="B723" s="17"/>
    </row>
    <row r="724" ht="15.75" customHeight="1">
      <c r="A724" s="17"/>
      <c r="B724" s="17"/>
    </row>
    <row r="725" ht="15.75" customHeight="1">
      <c r="A725" s="17"/>
      <c r="B725" s="17"/>
    </row>
    <row r="726" ht="15.75" customHeight="1">
      <c r="A726" s="17"/>
      <c r="B726" s="17"/>
    </row>
    <row r="727" ht="15.75" customHeight="1">
      <c r="A727" s="17"/>
      <c r="B727" s="17"/>
    </row>
    <row r="728" ht="15.75" customHeight="1">
      <c r="A728" s="17"/>
      <c r="B728" s="17"/>
    </row>
    <row r="729" ht="15.75" customHeight="1">
      <c r="A729" s="17"/>
      <c r="B729" s="17"/>
    </row>
    <row r="730" ht="15.75" customHeight="1">
      <c r="A730" s="17"/>
      <c r="B730" s="17"/>
    </row>
    <row r="731" ht="15.75" customHeight="1">
      <c r="A731" s="17"/>
      <c r="B731" s="17"/>
    </row>
    <row r="732" ht="15.75" customHeight="1">
      <c r="A732" s="17"/>
      <c r="B732" s="17"/>
    </row>
    <row r="733" ht="15.75" customHeight="1">
      <c r="A733" s="17"/>
      <c r="B733" s="17"/>
    </row>
    <row r="734" ht="15.75" customHeight="1">
      <c r="A734" s="17"/>
      <c r="B734" s="17"/>
    </row>
    <row r="735" ht="15.75" customHeight="1">
      <c r="A735" s="17"/>
      <c r="B735" s="17"/>
    </row>
    <row r="736" ht="15.75" customHeight="1">
      <c r="A736" s="17"/>
      <c r="B736" s="17"/>
    </row>
    <row r="737" ht="15.75" customHeight="1">
      <c r="A737" s="17"/>
      <c r="B737" s="17"/>
    </row>
    <row r="738" ht="15.75" customHeight="1">
      <c r="A738" s="17"/>
      <c r="B738" s="17"/>
    </row>
    <row r="739" ht="15.75" customHeight="1">
      <c r="A739" s="17"/>
      <c r="B739" s="17"/>
    </row>
    <row r="740" ht="15.75" customHeight="1">
      <c r="A740" s="17"/>
      <c r="B740" s="17"/>
    </row>
    <row r="741" ht="15.75" customHeight="1">
      <c r="A741" s="17"/>
      <c r="B741" s="17"/>
    </row>
    <row r="742" ht="15.75" customHeight="1">
      <c r="A742" s="17"/>
      <c r="B742" s="17"/>
    </row>
    <row r="743" ht="15.75" customHeight="1">
      <c r="A743" s="17"/>
      <c r="B743" s="17"/>
    </row>
    <row r="744" ht="15.75" customHeight="1">
      <c r="A744" s="17"/>
      <c r="B744" s="17"/>
    </row>
    <row r="745" ht="15.75" customHeight="1">
      <c r="A745" s="17"/>
      <c r="B745" s="17"/>
    </row>
    <row r="746" ht="15.75" customHeight="1">
      <c r="A746" s="17"/>
      <c r="B746" s="17"/>
    </row>
    <row r="747" ht="15.75" customHeight="1">
      <c r="A747" s="17"/>
      <c r="B747" s="17"/>
    </row>
    <row r="748" ht="15.75" customHeight="1">
      <c r="A748" s="17"/>
      <c r="B748" s="17"/>
    </row>
    <row r="749" ht="15.75" customHeight="1">
      <c r="A749" s="17"/>
      <c r="B749" s="17"/>
    </row>
    <row r="750" ht="15.75" customHeight="1">
      <c r="A750" s="17"/>
      <c r="B750" s="17"/>
    </row>
    <row r="751" ht="15.75" customHeight="1">
      <c r="A751" s="17"/>
      <c r="B751" s="17"/>
    </row>
    <row r="752" ht="15.75" customHeight="1">
      <c r="A752" s="17"/>
      <c r="B752" s="17"/>
    </row>
    <row r="753" ht="15.75" customHeight="1">
      <c r="A753" s="17"/>
      <c r="B753" s="17"/>
    </row>
    <row r="754" ht="15.75" customHeight="1">
      <c r="A754" s="17"/>
      <c r="B754" s="17"/>
    </row>
    <row r="755" ht="15.75" customHeight="1">
      <c r="A755" s="17"/>
      <c r="B755" s="17"/>
    </row>
    <row r="756" ht="15.75" customHeight="1">
      <c r="A756" s="17"/>
      <c r="B756" s="17"/>
    </row>
    <row r="757" ht="15.75" customHeight="1">
      <c r="A757" s="17"/>
      <c r="B757" s="17"/>
    </row>
    <row r="758" ht="15.75" customHeight="1">
      <c r="A758" s="17"/>
      <c r="B758" s="17"/>
    </row>
    <row r="759" ht="15.75" customHeight="1">
      <c r="A759" s="17"/>
      <c r="B759" s="17"/>
    </row>
    <row r="760" ht="15.75" customHeight="1">
      <c r="A760" s="17"/>
      <c r="B760" s="17"/>
    </row>
    <row r="761" ht="15.75" customHeight="1">
      <c r="A761" s="17"/>
      <c r="B761" s="17"/>
    </row>
    <row r="762" ht="15.75" customHeight="1">
      <c r="A762" s="17"/>
      <c r="B762" s="17"/>
    </row>
    <row r="763" ht="15.75" customHeight="1">
      <c r="A763" s="17"/>
      <c r="B763" s="17"/>
    </row>
    <row r="764" ht="15.75" customHeight="1">
      <c r="A764" s="17"/>
      <c r="B764" s="17"/>
    </row>
    <row r="765" ht="15.75" customHeight="1">
      <c r="A765" s="17"/>
      <c r="B765" s="17"/>
    </row>
    <row r="766" ht="15.75" customHeight="1">
      <c r="A766" s="17"/>
      <c r="B766" s="17"/>
    </row>
    <row r="767" ht="15.75" customHeight="1">
      <c r="A767" s="17"/>
      <c r="B767" s="17"/>
    </row>
    <row r="768" ht="15.75" customHeight="1">
      <c r="A768" s="17"/>
      <c r="B768" s="17"/>
    </row>
    <row r="769" ht="15.75" customHeight="1">
      <c r="A769" s="17"/>
      <c r="B769" s="17"/>
    </row>
    <row r="770" ht="15.75" customHeight="1">
      <c r="A770" s="17"/>
      <c r="B770" s="17"/>
    </row>
    <row r="771" ht="15.75" customHeight="1">
      <c r="A771" s="17"/>
      <c r="B771" s="17"/>
    </row>
    <row r="772" ht="15.75" customHeight="1">
      <c r="A772" s="17"/>
      <c r="B772" s="17"/>
    </row>
    <row r="773" ht="15.75" customHeight="1">
      <c r="A773" s="17"/>
      <c r="B773" s="17"/>
    </row>
    <row r="774" ht="15.75" customHeight="1">
      <c r="A774" s="17"/>
      <c r="B774" s="17"/>
    </row>
    <row r="775" ht="15.75" customHeight="1">
      <c r="A775" s="17"/>
      <c r="B775" s="17"/>
    </row>
    <row r="776" ht="15.75" customHeight="1">
      <c r="A776" s="17"/>
      <c r="B776" s="17"/>
    </row>
    <row r="777" ht="15.75" customHeight="1">
      <c r="A777" s="17"/>
      <c r="B777" s="17"/>
    </row>
    <row r="778" ht="15.75" customHeight="1">
      <c r="A778" s="17"/>
      <c r="B778" s="17"/>
    </row>
    <row r="779" ht="15.75" customHeight="1">
      <c r="A779" s="17"/>
      <c r="B779" s="17"/>
    </row>
    <row r="780" ht="15.75" customHeight="1">
      <c r="A780" s="17"/>
      <c r="B780" s="17"/>
    </row>
    <row r="781" ht="15.75" customHeight="1">
      <c r="A781" s="17"/>
      <c r="B781" s="17"/>
    </row>
    <row r="782" ht="15.75" customHeight="1">
      <c r="A782" s="17"/>
      <c r="B782" s="17"/>
    </row>
    <row r="783" ht="15.75" customHeight="1">
      <c r="A783" s="17"/>
      <c r="B783" s="17"/>
    </row>
    <row r="784" ht="15.75" customHeight="1">
      <c r="A784" s="17"/>
      <c r="B784" s="17"/>
    </row>
    <row r="785" ht="15.75" customHeight="1">
      <c r="A785" s="17"/>
      <c r="B785" s="17"/>
    </row>
    <row r="786" ht="15.75" customHeight="1">
      <c r="A786" s="17"/>
      <c r="B786" s="17"/>
    </row>
    <row r="787" ht="15.75" customHeight="1">
      <c r="A787" s="17"/>
      <c r="B787" s="17"/>
    </row>
    <row r="788" ht="15.75" customHeight="1">
      <c r="A788" s="17"/>
      <c r="B788" s="17"/>
    </row>
    <row r="789" ht="15.75" customHeight="1">
      <c r="A789" s="17"/>
      <c r="B789" s="17"/>
    </row>
    <row r="790" ht="15.75" customHeight="1">
      <c r="A790" s="17"/>
      <c r="B790" s="17"/>
    </row>
    <row r="791" ht="15.75" customHeight="1">
      <c r="A791" s="17"/>
      <c r="B791" s="17"/>
    </row>
    <row r="792" ht="15.75" customHeight="1">
      <c r="A792" s="17"/>
      <c r="B792" s="17"/>
    </row>
    <row r="793" ht="15.75" customHeight="1">
      <c r="A793" s="17"/>
      <c r="B793" s="17"/>
    </row>
    <row r="794" ht="15.75" customHeight="1">
      <c r="A794" s="17"/>
      <c r="B794" s="17"/>
    </row>
    <row r="795" ht="15.75" customHeight="1">
      <c r="A795" s="17"/>
      <c r="B795" s="17"/>
    </row>
    <row r="796" ht="15.75" customHeight="1">
      <c r="A796" s="17"/>
      <c r="B796" s="17"/>
    </row>
    <row r="797" ht="15.75" customHeight="1">
      <c r="A797" s="17"/>
      <c r="B797" s="17"/>
    </row>
    <row r="798" ht="15.75" customHeight="1">
      <c r="A798" s="17"/>
      <c r="B798" s="17"/>
    </row>
    <row r="799" ht="15.75" customHeight="1">
      <c r="A799" s="17"/>
      <c r="B799" s="17"/>
    </row>
    <row r="800" ht="15.75" customHeight="1">
      <c r="A800" s="17"/>
      <c r="B800" s="17"/>
    </row>
    <row r="801" ht="15.75" customHeight="1">
      <c r="A801" s="17"/>
      <c r="B801" s="17"/>
    </row>
    <row r="802" ht="15.75" customHeight="1">
      <c r="A802" s="17"/>
      <c r="B802" s="17"/>
    </row>
    <row r="803" ht="15.75" customHeight="1">
      <c r="A803" s="17"/>
      <c r="B803" s="17"/>
    </row>
    <row r="804" ht="15.75" customHeight="1">
      <c r="A804" s="17"/>
      <c r="B804" s="17"/>
    </row>
    <row r="805" ht="15.75" customHeight="1">
      <c r="A805" s="17"/>
      <c r="B805" s="17"/>
    </row>
    <row r="806" ht="15.75" customHeight="1">
      <c r="A806" s="17"/>
      <c r="B806" s="17"/>
    </row>
    <row r="807" ht="15.75" customHeight="1">
      <c r="A807" s="17"/>
      <c r="B807" s="17"/>
    </row>
    <row r="808" ht="15.75" customHeight="1">
      <c r="A808" s="17"/>
      <c r="B808" s="17"/>
    </row>
    <row r="809" ht="15.75" customHeight="1">
      <c r="A809" s="17"/>
      <c r="B809" s="17"/>
    </row>
    <row r="810" ht="15.75" customHeight="1">
      <c r="A810" s="17"/>
      <c r="B810" s="17"/>
    </row>
    <row r="811" ht="15.75" customHeight="1">
      <c r="A811" s="17"/>
      <c r="B811" s="17"/>
    </row>
    <row r="812" ht="15.75" customHeight="1">
      <c r="A812" s="17"/>
      <c r="B812" s="17"/>
    </row>
    <row r="813" ht="15.75" customHeight="1">
      <c r="A813" s="17"/>
      <c r="B813" s="17"/>
    </row>
    <row r="814" ht="15.75" customHeight="1">
      <c r="A814" s="17"/>
      <c r="B814" s="17"/>
    </row>
    <row r="815" ht="15.75" customHeight="1">
      <c r="A815" s="17"/>
      <c r="B815" s="17"/>
    </row>
    <row r="816" ht="15.75" customHeight="1">
      <c r="A816" s="17"/>
      <c r="B816" s="17"/>
    </row>
    <row r="817" ht="15.75" customHeight="1">
      <c r="A817" s="17"/>
      <c r="B817" s="17"/>
    </row>
    <row r="818" ht="15.75" customHeight="1">
      <c r="A818" s="17"/>
      <c r="B818" s="17"/>
    </row>
    <row r="819" ht="15.75" customHeight="1">
      <c r="A819" s="17"/>
      <c r="B819" s="17"/>
    </row>
    <row r="820" ht="15.75" customHeight="1">
      <c r="A820" s="17"/>
      <c r="B820" s="17"/>
    </row>
    <row r="821" ht="15.75" customHeight="1">
      <c r="A821" s="17"/>
      <c r="B821" s="17"/>
    </row>
    <row r="822" ht="15.75" customHeight="1">
      <c r="A822" s="17"/>
      <c r="B822" s="17"/>
    </row>
    <row r="823" ht="15.75" customHeight="1">
      <c r="A823" s="17"/>
      <c r="B823" s="17"/>
    </row>
    <row r="824" ht="15.75" customHeight="1">
      <c r="A824" s="17"/>
      <c r="B824" s="17"/>
    </row>
    <row r="825" ht="15.75" customHeight="1">
      <c r="A825" s="17"/>
      <c r="B825" s="17"/>
    </row>
    <row r="826" ht="15.75" customHeight="1">
      <c r="A826" s="17"/>
      <c r="B826" s="17"/>
    </row>
    <row r="827" ht="15.75" customHeight="1">
      <c r="A827" s="17"/>
      <c r="B827" s="17"/>
    </row>
    <row r="828" ht="15.75" customHeight="1">
      <c r="A828" s="17"/>
      <c r="B828" s="17"/>
    </row>
    <row r="829" ht="15.75" customHeight="1">
      <c r="A829" s="17"/>
      <c r="B829" s="17"/>
    </row>
    <row r="830" ht="15.75" customHeight="1">
      <c r="A830" s="17"/>
      <c r="B830" s="17"/>
    </row>
    <row r="831" ht="15.75" customHeight="1">
      <c r="A831" s="17"/>
      <c r="B831" s="17"/>
    </row>
    <row r="832" ht="15.75" customHeight="1">
      <c r="A832" s="17"/>
      <c r="B832" s="17"/>
    </row>
    <row r="833" ht="15.75" customHeight="1">
      <c r="A833" s="17"/>
      <c r="B833" s="17"/>
    </row>
    <row r="834" ht="15.75" customHeight="1">
      <c r="A834" s="17"/>
      <c r="B834" s="17"/>
    </row>
    <row r="835" ht="15.75" customHeight="1">
      <c r="A835" s="17"/>
      <c r="B835" s="17"/>
    </row>
    <row r="836" ht="15.75" customHeight="1">
      <c r="A836" s="17"/>
      <c r="B836" s="17"/>
    </row>
    <row r="837" ht="15.75" customHeight="1">
      <c r="A837" s="17"/>
      <c r="B837" s="17"/>
    </row>
    <row r="838" ht="15.75" customHeight="1">
      <c r="A838" s="17"/>
      <c r="B838" s="17"/>
    </row>
    <row r="839" ht="15.75" customHeight="1">
      <c r="A839" s="17"/>
      <c r="B839" s="17"/>
    </row>
    <row r="840" ht="15.75" customHeight="1">
      <c r="A840" s="17"/>
      <c r="B840" s="17"/>
    </row>
    <row r="841" ht="15.75" customHeight="1">
      <c r="A841" s="17"/>
      <c r="B841" s="17"/>
    </row>
    <row r="842" ht="15.75" customHeight="1">
      <c r="A842" s="17"/>
      <c r="B842" s="17"/>
    </row>
    <row r="843" ht="15.75" customHeight="1">
      <c r="A843" s="17"/>
      <c r="B843" s="17"/>
    </row>
    <row r="844" ht="15.75" customHeight="1">
      <c r="A844" s="17"/>
      <c r="B844" s="17"/>
    </row>
    <row r="845" ht="15.75" customHeight="1">
      <c r="A845" s="17"/>
      <c r="B845" s="17"/>
    </row>
    <row r="846" ht="15.75" customHeight="1">
      <c r="A846" s="17"/>
      <c r="B846" s="17"/>
    </row>
    <row r="847" ht="15.75" customHeight="1">
      <c r="A847" s="17"/>
      <c r="B847" s="17"/>
    </row>
    <row r="848" ht="15.75" customHeight="1">
      <c r="A848" s="17"/>
      <c r="B848" s="17"/>
    </row>
    <row r="849" ht="15.75" customHeight="1">
      <c r="A849" s="17"/>
      <c r="B849" s="17"/>
    </row>
    <row r="850" ht="15.75" customHeight="1">
      <c r="A850" s="17"/>
      <c r="B850" s="17"/>
    </row>
    <row r="851" ht="15.75" customHeight="1">
      <c r="A851" s="17"/>
      <c r="B851" s="17"/>
    </row>
    <row r="852" ht="15.75" customHeight="1">
      <c r="A852" s="17"/>
      <c r="B852" s="17"/>
    </row>
    <row r="853" ht="15.75" customHeight="1">
      <c r="A853" s="17"/>
      <c r="B853" s="17"/>
    </row>
    <row r="854" ht="15.75" customHeight="1">
      <c r="A854" s="17"/>
      <c r="B854" s="17"/>
    </row>
    <row r="855" ht="15.75" customHeight="1">
      <c r="A855" s="17"/>
      <c r="B855" s="17"/>
    </row>
    <row r="856" ht="15.75" customHeight="1">
      <c r="A856" s="17"/>
      <c r="B856" s="17"/>
    </row>
    <row r="857" ht="15.75" customHeight="1">
      <c r="A857" s="17"/>
      <c r="B857" s="17"/>
    </row>
    <row r="858" ht="15.75" customHeight="1">
      <c r="A858" s="17"/>
      <c r="B858" s="17"/>
    </row>
    <row r="859" ht="15.75" customHeight="1">
      <c r="A859" s="17"/>
      <c r="B859" s="17"/>
    </row>
    <row r="860" ht="15.75" customHeight="1">
      <c r="A860" s="17"/>
      <c r="B860" s="17"/>
    </row>
    <row r="861" ht="15.75" customHeight="1">
      <c r="A861" s="17"/>
      <c r="B861" s="17"/>
    </row>
    <row r="862" ht="15.75" customHeight="1">
      <c r="A862" s="17"/>
      <c r="B862" s="17"/>
    </row>
    <row r="863" ht="15.75" customHeight="1">
      <c r="A863" s="17"/>
      <c r="B863" s="17"/>
    </row>
    <row r="864" ht="15.75" customHeight="1">
      <c r="A864" s="17"/>
      <c r="B864" s="17"/>
    </row>
    <row r="865" ht="15.75" customHeight="1">
      <c r="A865" s="17"/>
      <c r="B865" s="17"/>
    </row>
    <row r="866" ht="15.75" customHeight="1">
      <c r="A866" s="17"/>
      <c r="B866" s="17"/>
    </row>
    <row r="867" ht="15.75" customHeight="1">
      <c r="A867" s="17"/>
      <c r="B867" s="17"/>
    </row>
    <row r="868" ht="15.75" customHeight="1">
      <c r="A868" s="17"/>
      <c r="B868" s="17"/>
    </row>
    <row r="869" ht="15.75" customHeight="1">
      <c r="A869" s="17"/>
      <c r="B869" s="17"/>
    </row>
    <row r="870" ht="15.75" customHeight="1">
      <c r="A870" s="17"/>
      <c r="B870" s="17"/>
    </row>
    <row r="871" ht="15.75" customHeight="1">
      <c r="A871" s="17"/>
      <c r="B871" s="17"/>
    </row>
    <row r="872" ht="15.75" customHeight="1">
      <c r="A872" s="17"/>
      <c r="B872" s="17"/>
    </row>
    <row r="873" ht="15.75" customHeight="1">
      <c r="A873" s="17"/>
      <c r="B873" s="17"/>
    </row>
    <row r="874" ht="15.75" customHeight="1">
      <c r="A874" s="17"/>
      <c r="B874" s="17"/>
    </row>
    <row r="875" ht="15.75" customHeight="1">
      <c r="A875" s="17"/>
      <c r="B875" s="17"/>
    </row>
    <row r="876" ht="15.75" customHeight="1">
      <c r="A876" s="17"/>
      <c r="B876" s="17"/>
    </row>
    <row r="877" ht="15.75" customHeight="1">
      <c r="A877" s="17"/>
      <c r="B877" s="17"/>
    </row>
    <row r="878" ht="15.75" customHeight="1">
      <c r="A878" s="17"/>
      <c r="B878" s="17"/>
    </row>
    <row r="879" ht="15.75" customHeight="1">
      <c r="A879" s="17"/>
      <c r="B879" s="17"/>
    </row>
    <row r="880" ht="15.75" customHeight="1">
      <c r="A880" s="17"/>
      <c r="B880" s="17"/>
    </row>
    <row r="881" ht="15.75" customHeight="1">
      <c r="A881" s="17"/>
      <c r="B881" s="17"/>
    </row>
    <row r="882" ht="15.75" customHeight="1">
      <c r="A882" s="17"/>
      <c r="B882" s="17"/>
    </row>
    <row r="883" ht="15.75" customHeight="1">
      <c r="A883" s="17"/>
      <c r="B883" s="17"/>
    </row>
    <row r="884" ht="15.75" customHeight="1">
      <c r="A884" s="17"/>
      <c r="B884" s="17"/>
    </row>
    <row r="885" ht="15.75" customHeight="1">
      <c r="A885" s="17"/>
      <c r="B885" s="17"/>
    </row>
    <row r="886" ht="15.75" customHeight="1">
      <c r="A886" s="17"/>
      <c r="B886" s="17"/>
    </row>
    <row r="887" ht="15.75" customHeight="1">
      <c r="A887" s="17"/>
      <c r="B887" s="17"/>
    </row>
    <row r="888" ht="15.75" customHeight="1">
      <c r="A888" s="17"/>
      <c r="B888" s="17"/>
    </row>
    <row r="889" ht="15.75" customHeight="1">
      <c r="A889" s="17"/>
      <c r="B889" s="17"/>
    </row>
    <row r="890" ht="15.75" customHeight="1">
      <c r="A890" s="17"/>
      <c r="B890" s="17"/>
    </row>
    <row r="891" ht="15.75" customHeight="1">
      <c r="A891" s="17"/>
      <c r="B891" s="17"/>
    </row>
    <row r="892" ht="15.75" customHeight="1">
      <c r="A892" s="17"/>
      <c r="B892" s="17"/>
    </row>
    <row r="893" ht="15.75" customHeight="1">
      <c r="A893" s="17"/>
      <c r="B893" s="17"/>
    </row>
    <row r="894" ht="15.75" customHeight="1">
      <c r="A894" s="17"/>
      <c r="B894" s="17"/>
    </row>
    <row r="895" ht="15.75" customHeight="1">
      <c r="A895" s="17"/>
      <c r="B895" s="17"/>
    </row>
    <row r="896" ht="15.75" customHeight="1">
      <c r="A896" s="17"/>
      <c r="B896" s="17"/>
    </row>
    <row r="897" ht="15.75" customHeight="1">
      <c r="A897" s="17"/>
      <c r="B897" s="17"/>
    </row>
    <row r="898" ht="15.75" customHeight="1">
      <c r="A898" s="17"/>
      <c r="B898" s="17"/>
    </row>
    <row r="899" ht="15.75" customHeight="1">
      <c r="A899" s="17"/>
      <c r="B899" s="17"/>
    </row>
    <row r="900" ht="15.75" customHeight="1">
      <c r="A900" s="17"/>
      <c r="B900" s="17"/>
    </row>
    <row r="901" ht="15.75" customHeight="1">
      <c r="A901" s="17"/>
      <c r="B901" s="17"/>
    </row>
    <row r="902" ht="15.75" customHeight="1">
      <c r="A902" s="17"/>
      <c r="B902" s="17"/>
    </row>
    <row r="903" ht="15.75" customHeight="1">
      <c r="A903" s="17"/>
      <c r="B903" s="17"/>
    </row>
    <row r="904" ht="15.75" customHeight="1">
      <c r="A904" s="17"/>
      <c r="B904" s="17"/>
    </row>
    <row r="905" ht="15.75" customHeight="1">
      <c r="A905" s="17"/>
      <c r="B905" s="17"/>
    </row>
    <row r="906" ht="15.75" customHeight="1">
      <c r="A906" s="17"/>
      <c r="B906" s="17"/>
    </row>
    <row r="907" ht="15.75" customHeight="1">
      <c r="A907" s="17"/>
      <c r="B907" s="17"/>
    </row>
    <row r="908" ht="15.75" customHeight="1">
      <c r="A908" s="17"/>
      <c r="B908" s="17"/>
    </row>
    <row r="909" ht="15.75" customHeight="1">
      <c r="A909" s="17"/>
      <c r="B909" s="17"/>
    </row>
    <row r="910" ht="15.75" customHeight="1">
      <c r="A910" s="17"/>
      <c r="B910" s="17"/>
    </row>
    <row r="911" ht="15.75" customHeight="1">
      <c r="A911" s="17"/>
      <c r="B911" s="17"/>
    </row>
    <row r="912" ht="15.75" customHeight="1">
      <c r="A912" s="17"/>
      <c r="B912" s="17"/>
    </row>
    <row r="913" ht="15.75" customHeight="1">
      <c r="A913" s="17"/>
      <c r="B913" s="17"/>
    </row>
    <row r="914" ht="15.75" customHeight="1">
      <c r="A914" s="17"/>
      <c r="B914" s="17"/>
    </row>
    <row r="915" ht="15.75" customHeight="1">
      <c r="A915" s="17"/>
      <c r="B915" s="17"/>
    </row>
    <row r="916" ht="15.75" customHeight="1">
      <c r="A916" s="17"/>
      <c r="B916" s="17"/>
    </row>
    <row r="917" ht="15.75" customHeight="1">
      <c r="A917" s="17"/>
      <c r="B917" s="17"/>
    </row>
    <row r="918" ht="15.75" customHeight="1">
      <c r="A918" s="17"/>
      <c r="B918" s="17"/>
    </row>
    <row r="919" ht="15.75" customHeight="1">
      <c r="A919" s="17"/>
      <c r="B919" s="17"/>
    </row>
    <row r="920" ht="15.75" customHeight="1">
      <c r="A920" s="17"/>
      <c r="B920" s="17"/>
    </row>
    <row r="921" ht="15.75" customHeight="1">
      <c r="A921" s="17"/>
      <c r="B921" s="17"/>
    </row>
    <row r="922" ht="15.75" customHeight="1">
      <c r="A922" s="17"/>
      <c r="B922" s="17"/>
    </row>
    <row r="923" ht="15.75" customHeight="1">
      <c r="A923" s="17"/>
      <c r="B923" s="17"/>
    </row>
    <row r="924" ht="15.75" customHeight="1">
      <c r="A924" s="17"/>
      <c r="B924" s="17"/>
    </row>
    <row r="925" ht="15.75" customHeight="1">
      <c r="A925" s="17"/>
      <c r="B925" s="17"/>
    </row>
    <row r="926" ht="15.75" customHeight="1">
      <c r="A926" s="17"/>
      <c r="B926" s="17"/>
    </row>
    <row r="927" ht="15.75" customHeight="1">
      <c r="A927" s="17"/>
      <c r="B927" s="17"/>
    </row>
    <row r="928" ht="15.75" customHeight="1">
      <c r="A928" s="17"/>
      <c r="B928" s="17"/>
    </row>
    <row r="929" ht="15.75" customHeight="1">
      <c r="A929" s="17"/>
      <c r="B929" s="17"/>
    </row>
    <row r="930" ht="15.75" customHeight="1">
      <c r="A930" s="17"/>
      <c r="B930" s="17"/>
    </row>
    <row r="931" ht="15.75" customHeight="1">
      <c r="A931" s="17"/>
      <c r="B931" s="17"/>
    </row>
    <row r="932" ht="15.75" customHeight="1">
      <c r="A932" s="17"/>
      <c r="B932" s="17"/>
    </row>
    <row r="933" ht="15.75" customHeight="1">
      <c r="A933" s="17"/>
      <c r="B933" s="17"/>
    </row>
    <row r="934" ht="15.75" customHeight="1">
      <c r="A934" s="17"/>
      <c r="B934" s="17"/>
    </row>
    <row r="935" ht="15.75" customHeight="1">
      <c r="A935" s="17"/>
      <c r="B935" s="17"/>
    </row>
    <row r="936" ht="15.75" customHeight="1">
      <c r="A936" s="17"/>
      <c r="B936" s="17"/>
    </row>
    <row r="937" ht="15.75" customHeight="1">
      <c r="A937" s="17"/>
      <c r="B937" s="17"/>
    </row>
    <row r="938" ht="15.75" customHeight="1">
      <c r="A938" s="17"/>
      <c r="B938" s="17"/>
    </row>
    <row r="939" ht="15.75" customHeight="1">
      <c r="A939" s="17"/>
      <c r="B939" s="17"/>
    </row>
    <row r="940" ht="15.75" customHeight="1">
      <c r="A940" s="17"/>
      <c r="B940" s="17"/>
    </row>
    <row r="941" ht="15.75" customHeight="1">
      <c r="A941" s="17"/>
      <c r="B941" s="17"/>
    </row>
    <row r="942" ht="15.75" customHeight="1">
      <c r="A942" s="17"/>
      <c r="B942" s="17"/>
    </row>
    <row r="943" ht="15.75" customHeight="1">
      <c r="A943" s="17"/>
      <c r="B943" s="17"/>
    </row>
    <row r="944" ht="15.75" customHeight="1">
      <c r="A944" s="17"/>
      <c r="B944" s="17"/>
    </row>
    <row r="945" ht="15.75" customHeight="1">
      <c r="A945" s="17"/>
      <c r="B945" s="17"/>
    </row>
    <row r="946" ht="15.75" customHeight="1">
      <c r="A946" s="17"/>
      <c r="B946" s="17"/>
    </row>
    <row r="947" ht="15.75" customHeight="1">
      <c r="A947" s="17"/>
      <c r="B947" s="17"/>
    </row>
    <row r="948" ht="15.75" customHeight="1">
      <c r="A948" s="17"/>
      <c r="B948" s="17"/>
    </row>
    <row r="949" ht="15.75" customHeight="1">
      <c r="A949" s="17"/>
      <c r="B949" s="17"/>
    </row>
    <row r="950" ht="15.75" customHeight="1">
      <c r="A950" s="17"/>
      <c r="B950" s="17"/>
    </row>
    <row r="951" ht="15.75" customHeight="1">
      <c r="A951" s="17"/>
      <c r="B951" s="17"/>
    </row>
    <row r="952" ht="15.75" customHeight="1">
      <c r="A952" s="17"/>
      <c r="B952" s="17"/>
    </row>
    <row r="953" ht="15.75" customHeight="1">
      <c r="A953" s="17"/>
      <c r="B953" s="17"/>
    </row>
    <row r="954" ht="15.75" customHeight="1">
      <c r="A954" s="17"/>
      <c r="B954" s="17"/>
    </row>
    <row r="955" ht="15.75" customHeight="1">
      <c r="A955" s="17"/>
      <c r="B955" s="17"/>
    </row>
    <row r="956" ht="15.75" customHeight="1">
      <c r="A956" s="17"/>
      <c r="B956" s="17"/>
    </row>
    <row r="957" ht="15.75" customHeight="1">
      <c r="A957" s="17"/>
      <c r="B957" s="17"/>
    </row>
    <row r="958" ht="15.75" customHeight="1">
      <c r="A958" s="17"/>
      <c r="B958" s="17"/>
    </row>
    <row r="959" ht="15.75" customHeight="1">
      <c r="A959" s="17"/>
      <c r="B959" s="17"/>
    </row>
    <row r="960" ht="15.75" customHeight="1">
      <c r="A960" s="17"/>
      <c r="B960" s="17"/>
    </row>
    <row r="961" ht="15.75" customHeight="1">
      <c r="A961" s="17"/>
      <c r="B961" s="17"/>
    </row>
    <row r="962" ht="15.75" customHeight="1">
      <c r="A962" s="17"/>
      <c r="B962" s="17"/>
    </row>
    <row r="963" ht="15.75" customHeight="1">
      <c r="A963" s="17"/>
      <c r="B963" s="17"/>
    </row>
    <row r="964" ht="15.75" customHeight="1">
      <c r="A964" s="17"/>
      <c r="B964" s="17"/>
    </row>
    <row r="965" ht="15.75" customHeight="1">
      <c r="A965" s="17"/>
      <c r="B965" s="17"/>
    </row>
    <row r="966" ht="15.75" customHeight="1">
      <c r="A966" s="17"/>
      <c r="B966" s="17"/>
    </row>
    <row r="967" ht="15.75" customHeight="1">
      <c r="A967" s="17"/>
      <c r="B967" s="17"/>
    </row>
    <row r="968" ht="15.75" customHeight="1">
      <c r="A968" s="17"/>
      <c r="B968" s="17"/>
    </row>
    <row r="969" ht="15.75" customHeight="1">
      <c r="A969" s="17"/>
      <c r="B969" s="17"/>
    </row>
    <row r="970" ht="15.75" customHeight="1">
      <c r="A970" s="17"/>
      <c r="B970" s="17"/>
    </row>
    <row r="971" ht="15.75" customHeight="1">
      <c r="A971" s="17"/>
      <c r="B971" s="17"/>
    </row>
    <row r="972" ht="15.75" customHeight="1">
      <c r="A972" s="17"/>
      <c r="B972" s="17"/>
    </row>
    <row r="973" ht="15.75" customHeight="1">
      <c r="A973" s="17"/>
      <c r="B973" s="17"/>
    </row>
    <row r="974" ht="15.75" customHeight="1">
      <c r="A974" s="17"/>
      <c r="B974" s="17"/>
    </row>
    <row r="975" ht="15.75" customHeight="1">
      <c r="A975" s="17"/>
      <c r="B975" s="17"/>
    </row>
    <row r="976" ht="15.75" customHeight="1">
      <c r="A976" s="17"/>
      <c r="B976" s="17"/>
    </row>
    <row r="977" ht="15.75" customHeight="1">
      <c r="A977" s="17"/>
      <c r="B977" s="17"/>
    </row>
    <row r="978" ht="15.75" customHeight="1">
      <c r="A978" s="17"/>
      <c r="B978" s="17"/>
    </row>
    <row r="979" ht="15.75" customHeight="1">
      <c r="A979" s="17"/>
      <c r="B979" s="17"/>
    </row>
    <row r="980" ht="15.75" customHeight="1">
      <c r="A980" s="17"/>
      <c r="B980" s="17"/>
    </row>
    <row r="981" ht="15.75" customHeight="1">
      <c r="A981" s="17"/>
      <c r="B981" s="17"/>
    </row>
    <row r="982" ht="15.75" customHeight="1">
      <c r="A982" s="17"/>
      <c r="B982" s="17"/>
    </row>
    <row r="983" ht="15.75" customHeight="1">
      <c r="A983" s="17"/>
      <c r="B983" s="17"/>
    </row>
    <row r="984" ht="15.75" customHeight="1">
      <c r="A984" s="17"/>
      <c r="B984" s="17"/>
    </row>
    <row r="985" ht="15.75" customHeight="1">
      <c r="A985" s="17"/>
      <c r="B985" s="17"/>
    </row>
    <row r="986" ht="15.75" customHeight="1">
      <c r="A986" s="17"/>
      <c r="B986" s="17"/>
    </row>
    <row r="987" ht="15.75" customHeight="1">
      <c r="A987" s="17"/>
      <c r="B987" s="17"/>
    </row>
    <row r="988" ht="15.75" customHeight="1">
      <c r="A988" s="17"/>
      <c r="B988" s="17"/>
    </row>
    <row r="989" ht="15.75" customHeight="1">
      <c r="A989" s="17"/>
      <c r="B989" s="17"/>
    </row>
    <row r="990" ht="15.75" customHeight="1">
      <c r="A990" s="17"/>
      <c r="B990" s="17"/>
    </row>
    <row r="991" ht="15.75" customHeight="1">
      <c r="A991" s="17"/>
      <c r="B991" s="17"/>
    </row>
    <row r="992" ht="15.75" customHeight="1">
      <c r="A992" s="17"/>
      <c r="B992" s="17"/>
    </row>
    <row r="993" ht="15.75" customHeight="1">
      <c r="A993" s="17"/>
      <c r="B993" s="17"/>
    </row>
    <row r="994" ht="15.75" customHeight="1">
      <c r="A994" s="17"/>
      <c r="B994" s="17"/>
    </row>
    <row r="995" ht="15.75" customHeight="1">
      <c r="A995" s="17"/>
      <c r="B995" s="17"/>
    </row>
    <row r="996" ht="15.75" customHeight="1">
      <c r="A996" s="17"/>
      <c r="B996" s="17"/>
    </row>
    <row r="997" ht="15.75" customHeight="1">
      <c r="A997" s="17"/>
      <c r="B997" s="17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5"/>
    <col customWidth="1" min="2" max="2" width="20.88"/>
    <col customWidth="1" min="3" max="3" width="14.5"/>
    <col customWidth="1" min="4" max="4" width="14.13"/>
    <col customWidth="1" min="5" max="5" width="13.88"/>
    <col customWidth="1" min="6" max="7" width="17.63"/>
    <col customWidth="1" min="8" max="8" width="20.5"/>
    <col customWidth="1" min="9" max="9" width="20.63"/>
    <col customWidth="1" min="10" max="10" width="14.5"/>
    <col customWidth="1" min="11" max="11" width="16.0"/>
    <col customWidth="1" min="12" max="12" width="12.0"/>
    <col customWidth="1" min="13" max="13" width="15.0"/>
    <col customWidth="1" min="14" max="14" width="14.5"/>
    <col customWidth="1" min="15" max="15" width="16.13"/>
    <col customWidth="1" min="16" max="25" width="9.13"/>
  </cols>
  <sheetData>
    <row r="1" ht="60.0" customHeight="1">
      <c r="A1" s="32" t="s">
        <v>688</v>
      </c>
      <c r="B1" s="32" t="s">
        <v>689</v>
      </c>
      <c r="C1" s="33" t="s">
        <v>690</v>
      </c>
      <c r="D1" s="33" t="s">
        <v>691</v>
      </c>
      <c r="E1" s="33" t="s">
        <v>692</v>
      </c>
      <c r="F1" s="33" t="s">
        <v>693</v>
      </c>
      <c r="G1" s="33" t="s">
        <v>694</v>
      </c>
      <c r="H1" s="33" t="s">
        <v>695</v>
      </c>
      <c r="I1" s="33" t="s">
        <v>696</v>
      </c>
      <c r="J1" s="33" t="s">
        <v>697</v>
      </c>
      <c r="K1" s="33" t="s">
        <v>698</v>
      </c>
      <c r="L1" s="33" t="s">
        <v>699</v>
      </c>
      <c r="M1" s="33" t="s">
        <v>700</v>
      </c>
      <c r="N1" s="33" t="s">
        <v>701</v>
      </c>
      <c r="O1" s="33" t="s">
        <v>702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46"/>
    </row>
    <row r="2">
      <c r="A2" s="36" t="s">
        <v>703</v>
      </c>
      <c r="B2" s="36" t="s">
        <v>703</v>
      </c>
      <c r="C2" s="37">
        <v>106542.0</v>
      </c>
      <c r="D2" s="38">
        <v>31328.0</v>
      </c>
      <c r="E2" s="39">
        <v>30.0</v>
      </c>
      <c r="F2" s="37">
        <v>30698.0</v>
      </c>
      <c r="G2" s="39">
        <v>29.0</v>
      </c>
      <c r="H2" s="37">
        <v>630.0</v>
      </c>
      <c r="I2" s="39">
        <v>1.0</v>
      </c>
      <c r="J2" s="38">
        <v>13135.0</v>
      </c>
      <c r="K2" s="39">
        <v>13.0</v>
      </c>
      <c r="L2" s="37">
        <v>12505.0</v>
      </c>
      <c r="M2" s="39">
        <v>12.0</v>
      </c>
      <c r="N2" s="37">
        <v>62709.0</v>
      </c>
      <c r="O2" s="39">
        <v>59.0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46"/>
    </row>
    <row r="3">
      <c r="A3" s="36" t="s">
        <v>704</v>
      </c>
      <c r="B3" s="36" t="s">
        <v>704</v>
      </c>
      <c r="C3" s="37">
        <v>54298.0</v>
      </c>
      <c r="D3" s="38">
        <v>18976.0</v>
      </c>
      <c r="E3" s="39">
        <v>35.0</v>
      </c>
      <c r="F3" s="37">
        <v>14837.0</v>
      </c>
      <c r="G3" s="39">
        <v>27.0</v>
      </c>
      <c r="H3" s="37">
        <v>4139.0</v>
      </c>
      <c r="I3" s="39">
        <v>8.0</v>
      </c>
      <c r="J3" s="38">
        <v>16744.0</v>
      </c>
      <c r="K3" s="39">
        <v>31.0</v>
      </c>
      <c r="L3" s="37">
        <v>12605.0</v>
      </c>
      <c r="M3" s="39">
        <v>23.0</v>
      </c>
      <c r="N3" s="37">
        <v>22717.0</v>
      </c>
      <c r="O3" s="39">
        <v>42.0</v>
      </c>
      <c r="P3" s="36"/>
      <c r="Q3" s="36"/>
      <c r="R3" s="36"/>
      <c r="S3" s="36"/>
      <c r="T3" s="36"/>
      <c r="U3" s="36"/>
      <c r="V3" s="36"/>
      <c r="W3" s="36"/>
      <c r="X3" s="36"/>
      <c r="Y3" s="36"/>
      <c r="Z3" s="46"/>
    </row>
    <row r="4">
      <c r="A4" s="36" t="s">
        <v>705</v>
      </c>
      <c r="B4" s="36" t="s">
        <v>705</v>
      </c>
      <c r="C4" s="37">
        <v>61485.0</v>
      </c>
      <c r="D4" s="38">
        <v>18554.0</v>
      </c>
      <c r="E4" s="39">
        <v>31.0</v>
      </c>
      <c r="F4" s="37">
        <v>15695.0</v>
      </c>
      <c r="G4" s="39">
        <v>26.0</v>
      </c>
      <c r="H4" s="37">
        <v>2859.0</v>
      </c>
      <c r="I4" s="39">
        <v>5.0</v>
      </c>
      <c r="J4" s="38">
        <v>10198.0</v>
      </c>
      <c r="K4" s="39">
        <v>17.0</v>
      </c>
      <c r="L4" s="37">
        <v>7339.0</v>
      </c>
      <c r="M4" s="39">
        <v>12.0</v>
      </c>
      <c r="N4" s="37">
        <v>35592.0</v>
      </c>
      <c r="O4" s="39">
        <v>58.0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46"/>
    </row>
    <row r="5">
      <c r="A5" s="36" t="s">
        <v>706</v>
      </c>
      <c r="B5" s="36" t="s">
        <v>706</v>
      </c>
      <c r="C5" s="37">
        <v>69469.0</v>
      </c>
      <c r="D5" s="38">
        <v>16158.0</v>
      </c>
      <c r="E5" s="39">
        <v>23.0</v>
      </c>
      <c r="F5" s="37">
        <v>8256.0</v>
      </c>
      <c r="G5" s="39">
        <v>12.0</v>
      </c>
      <c r="H5" s="37">
        <v>7902.0</v>
      </c>
      <c r="I5" s="39">
        <v>11.0</v>
      </c>
      <c r="J5" s="38">
        <v>40153.0</v>
      </c>
      <c r="K5" s="39">
        <v>57.0</v>
      </c>
      <c r="L5" s="37">
        <v>32251.0</v>
      </c>
      <c r="M5" s="39">
        <v>46.0</v>
      </c>
      <c r="N5" s="37">
        <v>21060.0</v>
      </c>
      <c r="O5" s="39">
        <v>30.0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46"/>
    </row>
    <row r="6">
      <c r="A6" s="36" t="s">
        <v>707</v>
      </c>
      <c r="B6" s="36" t="s">
        <v>707</v>
      </c>
      <c r="C6" s="37">
        <v>33731.0</v>
      </c>
      <c r="D6" s="38">
        <v>14810.0</v>
      </c>
      <c r="E6" s="39">
        <v>44.0</v>
      </c>
      <c r="F6" s="37">
        <v>11174.0</v>
      </c>
      <c r="G6" s="39">
        <v>33.0</v>
      </c>
      <c r="H6" s="37">
        <v>3636.0</v>
      </c>
      <c r="I6" s="39">
        <v>11.0</v>
      </c>
      <c r="J6" s="38">
        <v>10099.0</v>
      </c>
      <c r="K6" s="39">
        <v>30.0</v>
      </c>
      <c r="L6" s="37">
        <v>6463.0</v>
      </c>
      <c r="M6" s="39">
        <v>19.0</v>
      </c>
      <c r="N6" s="37">
        <v>12458.0</v>
      </c>
      <c r="O6" s="39">
        <v>37.0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6"/>
    </row>
    <row r="7">
      <c r="A7" s="36" t="s">
        <v>708</v>
      </c>
      <c r="B7" s="36" t="s">
        <v>708</v>
      </c>
      <c r="C7" s="37">
        <v>21612.0</v>
      </c>
      <c r="D7" s="38">
        <v>6203.0</v>
      </c>
      <c r="E7" s="39">
        <v>29.0</v>
      </c>
      <c r="F7" s="37">
        <v>5741.0</v>
      </c>
      <c r="G7" s="39">
        <v>27.0</v>
      </c>
      <c r="H7" s="37">
        <v>462.0</v>
      </c>
      <c r="I7" s="39">
        <v>2.0</v>
      </c>
      <c r="J7" s="38">
        <v>1571.0</v>
      </c>
      <c r="K7" s="39">
        <v>7.0</v>
      </c>
      <c r="L7" s="37">
        <v>1109.0</v>
      </c>
      <c r="M7" s="39">
        <v>5.0</v>
      </c>
      <c r="N7" s="37">
        <v>14300.0</v>
      </c>
      <c r="O7" s="39">
        <v>66.0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46"/>
    </row>
    <row r="8">
      <c r="A8" s="36" t="s">
        <v>709</v>
      </c>
      <c r="B8" s="36" t="s">
        <v>709</v>
      </c>
      <c r="C8" s="37">
        <v>14287.0</v>
      </c>
      <c r="D8" s="38">
        <v>4487.0</v>
      </c>
      <c r="E8" s="39">
        <v>32.0</v>
      </c>
      <c r="F8" s="37">
        <v>3375.0</v>
      </c>
      <c r="G8" s="39">
        <v>24.0</v>
      </c>
      <c r="H8" s="37">
        <v>1112.0</v>
      </c>
      <c r="I8" s="39">
        <v>8.0</v>
      </c>
      <c r="J8" s="38">
        <v>3992.0</v>
      </c>
      <c r="K8" s="39">
        <v>28.0</v>
      </c>
      <c r="L8" s="37">
        <v>2880.0</v>
      </c>
      <c r="M8" s="39">
        <v>20.0</v>
      </c>
      <c r="N8" s="37">
        <v>6920.0</v>
      </c>
      <c r="O8" s="39">
        <v>48.0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46"/>
    </row>
    <row r="9">
      <c r="A9" s="36" t="s">
        <v>711</v>
      </c>
      <c r="B9" s="36" t="s">
        <v>711</v>
      </c>
      <c r="C9" s="37">
        <v>10664.0</v>
      </c>
      <c r="D9" s="38">
        <v>3399.0</v>
      </c>
      <c r="E9" s="39">
        <v>32.0</v>
      </c>
      <c r="F9" s="37">
        <v>1910.0</v>
      </c>
      <c r="G9" s="39">
        <v>18.0</v>
      </c>
      <c r="H9" s="37">
        <v>1489.0</v>
      </c>
      <c r="I9" s="39">
        <v>14.0</v>
      </c>
      <c r="J9" s="38">
        <v>4014.0</v>
      </c>
      <c r="K9" s="39">
        <v>38.0</v>
      </c>
      <c r="L9" s="37">
        <v>2525.0</v>
      </c>
      <c r="M9" s="39">
        <v>24.0</v>
      </c>
      <c r="N9" s="37">
        <v>4740.0</v>
      </c>
      <c r="O9" s="39">
        <v>44.0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46"/>
    </row>
    <row r="10">
      <c r="A10" s="36" t="s">
        <v>710</v>
      </c>
      <c r="B10" s="36" t="s">
        <v>710</v>
      </c>
      <c r="C10" s="37">
        <v>9609.0</v>
      </c>
      <c r="D10" s="38">
        <v>3398.0</v>
      </c>
      <c r="E10" s="39">
        <v>36.0</v>
      </c>
      <c r="F10" s="37">
        <v>2936.0</v>
      </c>
      <c r="G10" s="39">
        <v>31.0</v>
      </c>
      <c r="H10" s="37">
        <v>462.0</v>
      </c>
      <c r="I10" s="39">
        <v>5.0</v>
      </c>
      <c r="J10" s="38">
        <v>2224.0</v>
      </c>
      <c r="K10" s="39">
        <v>23.0</v>
      </c>
      <c r="L10" s="37">
        <v>1762.0</v>
      </c>
      <c r="M10" s="39">
        <v>18.0</v>
      </c>
      <c r="N10" s="37">
        <v>4449.0</v>
      </c>
      <c r="O10" s="39">
        <v>46.0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46"/>
    </row>
    <row r="11">
      <c r="A11" s="36" t="s">
        <v>712</v>
      </c>
      <c r="B11" s="36" t="s">
        <v>713</v>
      </c>
      <c r="C11" s="37">
        <v>8718.0</v>
      </c>
      <c r="D11" s="38">
        <v>2554.0</v>
      </c>
      <c r="E11" s="39">
        <v>30.0</v>
      </c>
      <c r="F11" s="37">
        <v>931.0</v>
      </c>
      <c r="G11" s="39">
        <v>11.0</v>
      </c>
      <c r="H11" s="37">
        <v>1623.0</v>
      </c>
      <c r="I11" s="39">
        <v>19.0</v>
      </c>
      <c r="J11" s="38">
        <v>5475.0</v>
      </c>
      <c r="K11" s="39">
        <v>63.0</v>
      </c>
      <c r="L11" s="37">
        <v>3852.0</v>
      </c>
      <c r="M11" s="39">
        <v>44.0</v>
      </c>
      <c r="N11" s="37">
        <v>2312.0</v>
      </c>
      <c r="O11" s="39">
        <v>27.0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6"/>
    </row>
    <row r="12">
      <c r="A12" s="36" t="s">
        <v>714</v>
      </c>
      <c r="B12" s="36" t="s">
        <v>714</v>
      </c>
      <c r="C12" s="37">
        <v>6131.0</v>
      </c>
      <c r="D12" s="38">
        <v>2181.0</v>
      </c>
      <c r="E12" s="39">
        <v>35.0</v>
      </c>
      <c r="F12" s="37">
        <v>1557.0</v>
      </c>
      <c r="G12" s="39">
        <v>25.0</v>
      </c>
      <c r="H12" s="37">
        <v>624.0</v>
      </c>
      <c r="I12" s="39">
        <v>10.0</v>
      </c>
      <c r="J12" s="38">
        <v>1922.0</v>
      </c>
      <c r="K12" s="39">
        <v>31.0</v>
      </c>
      <c r="L12" s="37">
        <v>1298.0</v>
      </c>
      <c r="M12" s="39">
        <v>21.0</v>
      </c>
      <c r="N12" s="37">
        <v>2652.0</v>
      </c>
      <c r="O12" s="39">
        <v>43.0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46"/>
    </row>
    <row r="13">
      <c r="A13" s="36" t="s">
        <v>715</v>
      </c>
      <c r="B13" s="36" t="s">
        <v>715</v>
      </c>
      <c r="C13" s="37">
        <v>4677.0</v>
      </c>
      <c r="D13" s="38">
        <v>2088.0</v>
      </c>
      <c r="E13" s="39">
        <v>45.0</v>
      </c>
      <c r="F13" s="37">
        <v>184.0</v>
      </c>
      <c r="G13" s="39">
        <v>4.0</v>
      </c>
      <c r="H13" s="37">
        <v>1904.0</v>
      </c>
      <c r="I13" s="39">
        <v>41.0</v>
      </c>
      <c r="J13" s="38">
        <v>4355.0</v>
      </c>
      <c r="K13" s="39">
        <v>93.0</v>
      </c>
      <c r="L13" s="37">
        <v>2451.0</v>
      </c>
      <c r="M13" s="39">
        <v>52.0</v>
      </c>
      <c r="N13" s="37">
        <v>138.0</v>
      </c>
      <c r="O13" s="39">
        <v>3.0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46"/>
    </row>
    <row r="14">
      <c r="A14" s="36" t="s">
        <v>717</v>
      </c>
      <c r="B14" s="36" t="s">
        <v>718</v>
      </c>
      <c r="C14" s="37">
        <v>2880.0</v>
      </c>
      <c r="D14" s="38">
        <v>2037.0</v>
      </c>
      <c r="E14" s="39">
        <v>71.0</v>
      </c>
      <c r="F14" s="37">
        <v>2037.0</v>
      </c>
      <c r="G14" s="39">
        <v>71.0</v>
      </c>
      <c r="H14" s="37">
        <v>0.0</v>
      </c>
      <c r="I14" s="39">
        <v>0.0</v>
      </c>
      <c r="J14" s="38">
        <v>0.0</v>
      </c>
      <c r="K14" s="39">
        <v>0.0</v>
      </c>
      <c r="L14" s="37">
        <v>0.0</v>
      </c>
      <c r="M14" s="39">
        <v>0.0</v>
      </c>
      <c r="N14" s="37">
        <v>843.0</v>
      </c>
      <c r="O14" s="39">
        <v>29.0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46"/>
    </row>
    <row r="15">
      <c r="A15" s="36" t="s">
        <v>712</v>
      </c>
      <c r="B15" s="36" t="s">
        <v>716</v>
      </c>
      <c r="C15" s="37">
        <v>9548.0</v>
      </c>
      <c r="D15" s="38">
        <v>1921.0</v>
      </c>
      <c r="E15" s="39">
        <v>20.0</v>
      </c>
      <c r="F15" s="37">
        <v>1921.0</v>
      </c>
      <c r="G15" s="39">
        <v>20.0</v>
      </c>
      <c r="H15" s="37">
        <v>0.0</v>
      </c>
      <c r="I15" s="39">
        <v>0.0</v>
      </c>
      <c r="J15" s="38">
        <v>0.0</v>
      </c>
      <c r="K15" s="39">
        <v>0.0</v>
      </c>
      <c r="L15" s="37">
        <v>0.0</v>
      </c>
      <c r="M15" s="39">
        <v>0.0</v>
      </c>
      <c r="N15" s="37">
        <v>7627.0</v>
      </c>
      <c r="O15" s="39">
        <v>80.0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46"/>
    </row>
    <row r="16">
      <c r="A16" s="36" t="s">
        <v>721</v>
      </c>
      <c r="B16" s="36" t="s">
        <v>721</v>
      </c>
      <c r="C16" s="37">
        <v>6239.0</v>
      </c>
      <c r="D16" s="38">
        <v>1875.0</v>
      </c>
      <c r="E16" s="39">
        <v>30.0</v>
      </c>
      <c r="F16" s="37">
        <v>1617.0</v>
      </c>
      <c r="G16" s="39">
        <v>26.0</v>
      </c>
      <c r="H16" s="37">
        <v>258.0</v>
      </c>
      <c r="I16" s="39">
        <v>4.0</v>
      </c>
      <c r="J16" s="38">
        <v>1336.0</v>
      </c>
      <c r="K16" s="39">
        <v>21.0</v>
      </c>
      <c r="L16" s="37">
        <v>1078.0</v>
      </c>
      <c r="M16" s="39">
        <v>17.0</v>
      </c>
      <c r="N16" s="37">
        <v>3286.0</v>
      </c>
      <c r="O16" s="39">
        <v>53.0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6"/>
    </row>
    <row r="17">
      <c r="A17" s="36" t="s">
        <v>726</v>
      </c>
      <c r="B17" s="36" t="s">
        <v>727</v>
      </c>
      <c r="C17" s="37">
        <v>5207.0</v>
      </c>
      <c r="D17" s="38">
        <v>1785.0</v>
      </c>
      <c r="E17" s="39">
        <v>34.0</v>
      </c>
      <c r="F17" s="37">
        <v>1785.0</v>
      </c>
      <c r="G17" s="39">
        <v>34.0</v>
      </c>
      <c r="H17" s="37">
        <v>0.0</v>
      </c>
      <c r="I17" s="39">
        <v>0.0</v>
      </c>
      <c r="J17" s="38">
        <v>0.0</v>
      </c>
      <c r="K17" s="39">
        <v>0.0</v>
      </c>
      <c r="L17" s="37">
        <v>0.0</v>
      </c>
      <c r="M17" s="39">
        <v>0.0</v>
      </c>
      <c r="N17" s="37">
        <v>3422.0</v>
      </c>
      <c r="O17" s="39">
        <v>66.0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6"/>
    </row>
    <row r="18">
      <c r="A18" s="36" t="s">
        <v>719</v>
      </c>
      <c r="B18" s="36" t="s">
        <v>719</v>
      </c>
      <c r="C18" s="37">
        <v>6137.0</v>
      </c>
      <c r="D18" s="38">
        <v>1739.0</v>
      </c>
      <c r="E18" s="39">
        <v>29.0</v>
      </c>
      <c r="F18" s="37">
        <v>1088.0</v>
      </c>
      <c r="G18" s="39">
        <v>18.0</v>
      </c>
      <c r="H18" s="37">
        <v>651.0</v>
      </c>
      <c r="I18" s="39">
        <v>11.0</v>
      </c>
      <c r="J18" s="38">
        <v>1593.0</v>
      </c>
      <c r="K18" s="39">
        <v>26.0</v>
      </c>
      <c r="L18" s="37">
        <v>942.0</v>
      </c>
      <c r="M18" s="39">
        <v>15.0</v>
      </c>
      <c r="N18" s="37">
        <v>3456.0</v>
      </c>
      <c r="O18" s="39">
        <v>56.0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46"/>
    </row>
    <row r="19">
      <c r="A19" s="36" t="s">
        <v>725</v>
      </c>
      <c r="B19" s="36" t="s">
        <v>725</v>
      </c>
      <c r="C19" s="37">
        <v>3293.0</v>
      </c>
      <c r="D19" s="38">
        <v>1638.0</v>
      </c>
      <c r="E19" s="39">
        <v>50.0</v>
      </c>
      <c r="F19" s="37">
        <v>1638.0</v>
      </c>
      <c r="G19" s="39">
        <v>50.0</v>
      </c>
      <c r="H19" s="37">
        <v>0.0</v>
      </c>
      <c r="I19" s="39">
        <v>0.0</v>
      </c>
      <c r="J19" s="38">
        <v>0.0</v>
      </c>
      <c r="K19" s="39">
        <v>0.0</v>
      </c>
      <c r="L19" s="37">
        <v>0.0</v>
      </c>
      <c r="M19" s="39">
        <v>0.0</v>
      </c>
      <c r="N19" s="37">
        <v>1655.0</v>
      </c>
      <c r="O19" s="39">
        <v>50.0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46"/>
    </row>
    <row r="20">
      <c r="A20" s="36" t="s">
        <v>720</v>
      </c>
      <c r="B20" s="36" t="s">
        <v>720</v>
      </c>
      <c r="C20" s="37">
        <v>5229.0</v>
      </c>
      <c r="D20" s="38">
        <v>1579.0</v>
      </c>
      <c r="E20" s="39">
        <v>30.0</v>
      </c>
      <c r="F20" s="37">
        <v>841.0</v>
      </c>
      <c r="G20" s="39">
        <v>16.0</v>
      </c>
      <c r="H20" s="37">
        <v>738.0</v>
      </c>
      <c r="I20" s="39">
        <v>14.0</v>
      </c>
      <c r="J20" s="38">
        <v>1477.0</v>
      </c>
      <c r="K20" s="39">
        <v>28.0</v>
      </c>
      <c r="L20" s="37">
        <v>739.0</v>
      </c>
      <c r="M20" s="39">
        <v>14.0</v>
      </c>
      <c r="N20" s="37">
        <v>2911.0</v>
      </c>
      <c r="O20" s="39">
        <v>56.0</v>
      </c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46"/>
    </row>
    <row r="21" ht="15.75" customHeight="1">
      <c r="A21" s="36" t="s">
        <v>722</v>
      </c>
      <c r="B21" s="36" t="s">
        <v>723</v>
      </c>
      <c r="C21" s="37">
        <v>4746.0</v>
      </c>
      <c r="D21" s="38">
        <v>1547.0</v>
      </c>
      <c r="E21" s="39">
        <v>33.0</v>
      </c>
      <c r="F21" s="37">
        <v>1547.0</v>
      </c>
      <c r="G21" s="39">
        <v>33.0</v>
      </c>
      <c r="H21" s="37">
        <v>0.0</v>
      </c>
      <c r="I21" s="39">
        <v>0.0</v>
      </c>
      <c r="J21" s="38">
        <v>0.0</v>
      </c>
      <c r="K21" s="39">
        <v>0.0</v>
      </c>
      <c r="L21" s="37">
        <v>0.0</v>
      </c>
      <c r="M21" s="39">
        <v>0.0</v>
      </c>
      <c r="N21" s="37">
        <v>3199.0</v>
      </c>
      <c r="O21" s="39">
        <v>67.0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46"/>
    </row>
    <row r="22" ht="15.75" customHeight="1">
      <c r="A22" s="36" t="s">
        <v>724</v>
      </c>
      <c r="B22" s="36" t="s">
        <v>724</v>
      </c>
      <c r="C22" s="37">
        <v>4228.0</v>
      </c>
      <c r="D22" s="38">
        <v>1517.0</v>
      </c>
      <c r="E22" s="39">
        <v>36.0</v>
      </c>
      <c r="F22" s="37">
        <v>299.0</v>
      </c>
      <c r="G22" s="39">
        <v>7.0</v>
      </c>
      <c r="H22" s="37">
        <v>1218.0</v>
      </c>
      <c r="I22" s="39">
        <v>29.0</v>
      </c>
      <c r="J22" s="38">
        <v>3405.0</v>
      </c>
      <c r="K22" s="39">
        <v>81.0</v>
      </c>
      <c r="L22" s="37">
        <v>2187.0</v>
      </c>
      <c r="M22" s="39">
        <v>52.0</v>
      </c>
      <c r="N22" s="37">
        <v>524.0</v>
      </c>
      <c r="O22" s="39">
        <v>12.0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46"/>
    </row>
    <row r="23" ht="15.75" customHeight="1">
      <c r="A23" s="36" t="s">
        <v>729</v>
      </c>
      <c r="B23" s="36" t="s">
        <v>729</v>
      </c>
      <c r="C23" s="37">
        <v>2008.0</v>
      </c>
      <c r="D23" s="38">
        <v>1450.0</v>
      </c>
      <c r="E23" s="39">
        <v>72.0</v>
      </c>
      <c r="F23" s="37">
        <v>1450.0</v>
      </c>
      <c r="G23" s="39">
        <v>72.0</v>
      </c>
      <c r="H23" s="37">
        <v>0.0</v>
      </c>
      <c r="I23" s="39">
        <v>0.0</v>
      </c>
      <c r="J23" s="38">
        <v>0.0</v>
      </c>
      <c r="K23" s="39">
        <v>0.0</v>
      </c>
      <c r="L23" s="37">
        <v>0.0</v>
      </c>
      <c r="M23" s="39">
        <v>0.0</v>
      </c>
      <c r="N23" s="37">
        <v>558.0</v>
      </c>
      <c r="O23" s="39">
        <v>28.0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46"/>
    </row>
    <row r="24" ht="15.75" customHeight="1">
      <c r="A24" s="36" t="s">
        <v>728</v>
      </c>
      <c r="B24" s="36" t="s">
        <v>728</v>
      </c>
      <c r="C24" s="37">
        <v>5080.0</v>
      </c>
      <c r="D24" s="38">
        <v>1429.0</v>
      </c>
      <c r="E24" s="39">
        <v>28.0</v>
      </c>
      <c r="F24" s="37">
        <v>1429.0</v>
      </c>
      <c r="G24" s="39">
        <v>28.0</v>
      </c>
      <c r="H24" s="37">
        <v>0.0</v>
      </c>
      <c r="I24" s="39">
        <v>0.0</v>
      </c>
      <c r="J24" s="38">
        <v>0.0</v>
      </c>
      <c r="K24" s="39">
        <v>0.0</v>
      </c>
      <c r="L24" s="37">
        <v>0.0</v>
      </c>
      <c r="M24" s="39">
        <v>0.0</v>
      </c>
      <c r="N24" s="37">
        <v>3651.0</v>
      </c>
      <c r="O24" s="39">
        <v>72.0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46"/>
    </row>
    <row r="25" ht="15.75" customHeight="1">
      <c r="A25" s="36" t="s">
        <v>722</v>
      </c>
      <c r="B25" s="36" t="s">
        <v>722</v>
      </c>
      <c r="C25" s="37">
        <v>4033.0</v>
      </c>
      <c r="D25" s="38">
        <v>1174.0</v>
      </c>
      <c r="E25" s="39">
        <v>29.0</v>
      </c>
      <c r="F25" s="37">
        <v>1174.0</v>
      </c>
      <c r="G25" s="39">
        <v>29.0</v>
      </c>
      <c r="H25" s="37">
        <v>0.0</v>
      </c>
      <c r="I25" s="39">
        <v>0.0</v>
      </c>
      <c r="J25" s="38">
        <v>0.0</v>
      </c>
      <c r="K25" s="39">
        <v>0.0</v>
      </c>
      <c r="L25" s="37">
        <v>0.0</v>
      </c>
      <c r="M25" s="39">
        <v>0.0</v>
      </c>
      <c r="N25" s="37">
        <v>2859.0</v>
      </c>
      <c r="O25" s="39">
        <v>71.0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46"/>
    </row>
    <row r="26" ht="15.75" customHeight="1">
      <c r="A26" s="36" t="s">
        <v>732</v>
      </c>
      <c r="B26" s="36" t="s">
        <v>732</v>
      </c>
      <c r="C26" s="37">
        <v>4283.0</v>
      </c>
      <c r="D26" s="38">
        <v>1118.0</v>
      </c>
      <c r="E26" s="39">
        <v>27.0</v>
      </c>
      <c r="F26" s="37">
        <v>838.0</v>
      </c>
      <c r="G26" s="39">
        <v>20.0</v>
      </c>
      <c r="H26" s="37">
        <v>280.0</v>
      </c>
      <c r="I26" s="39">
        <v>7.0</v>
      </c>
      <c r="J26" s="38">
        <v>1125.0</v>
      </c>
      <c r="K26" s="39">
        <v>27.0</v>
      </c>
      <c r="L26" s="37">
        <v>845.0</v>
      </c>
      <c r="M26" s="39">
        <v>20.0</v>
      </c>
      <c r="N26" s="37">
        <v>2320.0</v>
      </c>
      <c r="O26" s="39">
        <v>54.0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46"/>
    </row>
    <row r="27" ht="15.75" customHeight="1">
      <c r="A27" s="36" t="s">
        <v>731</v>
      </c>
      <c r="B27" s="36" t="s">
        <v>731</v>
      </c>
      <c r="C27" s="37">
        <v>2089.0</v>
      </c>
      <c r="D27" s="38">
        <v>1030.0</v>
      </c>
      <c r="E27" s="39">
        <v>49.0</v>
      </c>
      <c r="F27" s="37">
        <v>1030.0</v>
      </c>
      <c r="G27" s="39">
        <v>49.0</v>
      </c>
      <c r="H27" s="37">
        <v>0.0</v>
      </c>
      <c r="I27" s="39">
        <v>0.0</v>
      </c>
      <c r="J27" s="38">
        <v>0.0</v>
      </c>
      <c r="K27" s="39">
        <v>0.0</v>
      </c>
      <c r="L27" s="37">
        <v>0.0</v>
      </c>
      <c r="M27" s="39">
        <v>0.0</v>
      </c>
      <c r="N27" s="37">
        <v>1059.0</v>
      </c>
      <c r="O27" s="39">
        <v>51.0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46"/>
    </row>
    <row r="28" ht="15.75" customHeight="1">
      <c r="A28" s="36" t="s">
        <v>730</v>
      </c>
      <c r="B28" s="36" t="s">
        <v>730</v>
      </c>
      <c r="C28" s="37">
        <v>2818.0</v>
      </c>
      <c r="D28" s="38">
        <v>988.0</v>
      </c>
      <c r="E28" s="39">
        <v>35.0</v>
      </c>
      <c r="F28" s="37">
        <v>504.0</v>
      </c>
      <c r="G28" s="39">
        <v>18.0</v>
      </c>
      <c r="H28" s="37">
        <v>484.0</v>
      </c>
      <c r="I28" s="39">
        <v>17.0</v>
      </c>
      <c r="J28" s="38">
        <v>1444.0</v>
      </c>
      <c r="K28" s="39">
        <v>51.0</v>
      </c>
      <c r="L28" s="37">
        <v>960.0</v>
      </c>
      <c r="M28" s="39">
        <v>34.0</v>
      </c>
      <c r="N28" s="37">
        <v>870.0</v>
      </c>
      <c r="O28" s="39">
        <v>31.0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46"/>
    </row>
    <row r="29" ht="15.75" customHeight="1">
      <c r="A29" s="36" t="s">
        <v>736</v>
      </c>
      <c r="B29" s="36" t="s">
        <v>736</v>
      </c>
      <c r="C29" s="37">
        <v>3543.0</v>
      </c>
      <c r="D29" s="38">
        <v>952.0</v>
      </c>
      <c r="E29" s="39">
        <v>27.0</v>
      </c>
      <c r="F29" s="37">
        <v>952.0</v>
      </c>
      <c r="G29" s="39">
        <v>27.0</v>
      </c>
      <c r="H29" s="37">
        <v>0.0</v>
      </c>
      <c r="I29" s="39">
        <v>0.0</v>
      </c>
      <c r="J29" s="38">
        <v>0.0</v>
      </c>
      <c r="K29" s="39">
        <v>0.0</v>
      </c>
      <c r="L29" s="37">
        <v>0.0</v>
      </c>
      <c r="M29" s="39">
        <v>0.0</v>
      </c>
      <c r="N29" s="37">
        <v>2591.0</v>
      </c>
      <c r="O29" s="39">
        <v>73.0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46"/>
    </row>
    <row r="30" ht="15.75" customHeight="1">
      <c r="A30" s="36" t="s">
        <v>735</v>
      </c>
      <c r="B30" s="36" t="s">
        <v>735</v>
      </c>
      <c r="C30" s="37">
        <v>3246.0</v>
      </c>
      <c r="D30" s="38">
        <v>934.0</v>
      </c>
      <c r="E30" s="39">
        <v>28.0</v>
      </c>
      <c r="F30" s="37">
        <v>146.0</v>
      </c>
      <c r="G30" s="39">
        <v>4.0</v>
      </c>
      <c r="H30" s="37">
        <v>788.0</v>
      </c>
      <c r="I30" s="39">
        <v>24.0</v>
      </c>
      <c r="J30" s="38">
        <v>2673.0</v>
      </c>
      <c r="K30" s="39">
        <v>82.0</v>
      </c>
      <c r="L30" s="37">
        <v>1885.0</v>
      </c>
      <c r="M30" s="39">
        <v>58.0</v>
      </c>
      <c r="N30" s="37">
        <v>427.0</v>
      </c>
      <c r="O30" s="39">
        <v>13.0</v>
      </c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46"/>
    </row>
    <row r="31" ht="15.75" customHeight="1">
      <c r="A31" s="36" t="s">
        <v>733</v>
      </c>
      <c r="B31" s="36" t="s">
        <v>734</v>
      </c>
      <c r="C31" s="37">
        <v>3332.0</v>
      </c>
      <c r="D31" s="38">
        <v>901.0</v>
      </c>
      <c r="E31" s="39">
        <v>27.0</v>
      </c>
      <c r="F31" s="37">
        <v>901.0</v>
      </c>
      <c r="G31" s="39">
        <v>27.0</v>
      </c>
      <c r="H31" s="37">
        <v>0.0</v>
      </c>
      <c r="I31" s="39">
        <v>0.0</v>
      </c>
      <c r="J31" s="38">
        <v>0.0</v>
      </c>
      <c r="K31" s="39">
        <v>0.0</v>
      </c>
      <c r="L31" s="37">
        <v>0.0</v>
      </c>
      <c r="M31" s="39">
        <v>0.0</v>
      </c>
      <c r="N31" s="37">
        <v>2431.0</v>
      </c>
      <c r="O31" s="39">
        <v>73.0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46"/>
    </row>
    <row r="32" ht="15.75" customHeight="1">
      <c r="A32" s="36" t="s">
        <v>737</v>
      </c>
      <c r="B32" s="36" t="s">
        <v>737</v>
      </c>
      <c r="C32" s="37">
        <v>2265.0</v>
      </c>
      <c r="D32" s="38">
        <v>844.0</v>
      </c>
      <c r="E32" s="39">
        <v>37.0</v>
      </c>
      <c r="F32" s="37">
        <v>189.0</v>
      </c>
      <c r="G32" s="39">
        <v>8.0</v>
      </c>
      <c r="H32" s="37">
        <v>655.0</v>
      </c>
      <c r="I32" s="39">
        <v>29.0</v>
      </c>
      <c r="J32" s="38">
        <v>1660.0</v>
      </c>
      <c r="K32" s="39">
        <v>73.0</v>
      </c>
      <c r="L32" s="37">
        <v>1005.0</v>
      </c>
      <c r="M32" s="39">
        <v>44.0</v>
      </c>
      <c r="N32" s="37">
        <v>416.0</v>
      </c>
      <c r="O32" s="39">
        <v>18.0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46"/>
    </row>
    <row r="33" ht="15.75" customHeight="1">
      <c r="A33" s="36" t="s">
        <v>739</v>
      </c>
      <c r="B33" s="36" t="s">
        <v>739</v>
      </c>
      <c r="C33" s="37">
        <v>2772.0</v>
      </c>
      <c r="D33" s="38">
        <v>824.0</v>
      </c>
      <c r="E33" s="39">
        <v>30.0</v>
      </c>
      <c r="F33" s="37">
        <v>824.0</v>
      </c>
      <c r="G33" s="39">
        <v>30.0</v>
      </c>
      <c r="H33" s="37">
        <v>0.0</v>
      </c>
      <c r="I33" s="39">
        <v>0.0</v>
      </c>
      <c r="J33" s="38">
        <v>0.0</v>
      </c>
      <c r="K33" s="39">
        <v>0.0</v>
      </c>
      <c r="L33" s="37">
        <v>0.0</v>
      </c>
      <c r="M33" s="39">
        <v>0.0</v>
      </c>
      <c r="N33" s="37">
        <v>1948.0</v>
      </c>
      <c r="O33" s="39">
        <v>70.0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46"/>
    </row>
    <row r="34" ht="15.75" customHeight="1">
      <c r="A34" s="36" t="s">
        <v>742</v>
      </c>
      <c r="B34" s="36" t="s">
        <v>742</v>
      </c>
      <c r="C34" s="37">
        <v>2635.0</v>
      </c>
      <c r="D34" s="38">
        <v>790.0</v>
      </c>
      <c r="E34" s="39">
        <v>30.0</v>
      </c>
      <c r="F34" s="37">
        <v>178.0</v>
      </c>
      <c r="G34" s="39">
        <v>7.0</v>
      </c>
      <c r="H34" s="37">
        <v>612.0</v>
      </c>
      <c r="I34" s="39">
        <v>23.0</v>
      </c>
      <c r="J34" s="38">
        <v>2046.0</v>
      </c>
      <c r="K34" s="39">
        <v>77.0</v>
      </c>
      <c r="L34" s="37">
        <v>1434.0</v>
      </c>
      <c r="M34" s="39">
        <v>54.0</v>
      </c>
      <c r="N34" s="37">
        <v>411.0</v>
      </c>
      <c r="O34" s="39">
        <v>16.0</v>
      </c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46"/>
    </row>
    <row r="35" ht="15.75" customHeight="1">
      <c r="A35" s="36" t="s">
        <v>746</v>
      </c>
      <c r="B35" s="36" t="s">
        <v>746</v>
      </c>
      <c r="C35" s="37">
        <v>3731.0</v>
      </c>
      <c r="D35" s="38">
        <v>774.0</v>
      </c>
      <c r="E35" s="39">
        <v>20.0</v>
      </c>
      <c r="F35" s="37">
        <v>649.0</v>
      </c>
      <c r="G35" s="39">
        <v>17.0</v>
      </c>
      <c r="H35" s="37">
        <v>125.0</v>
      </c>
      <c r="I35" s="39">
        <v>3.0</v>
      </c>
      <c r="J35" s="38">
        <v>1122.0</v>
      </c>
      <c r="K35" s="39">
        <v>30.0</v>
      </c>
      <c r="L35" s="37">
        <v>997.0</v>
      </c>
      <c r="M35" s="39">
        <v>27.0</v>
      </c>
      <c r="N35" s="37">
        <v>1960.0</v>
      </c>
      <c r="O35" s="39">
        <v>53.0</v>
      </c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46"/>
    </row>
    <row r="36" ht="15.75" customHeight="1">
      <c r="A36" s="36" t="s">
        <v>740</v>
      </c>
      <c r="B36" s="36" t="s">
        <v>740</v>
      </c>
      <c r="C36" s="37">
        <v>2872.0</v>
      </c>
      <c r="D36" s="38">
        <v>758.0</v>
      </c>
      <c r="E36" s="39">
        <v>27.0</v>
      </c>
      <c r="F36" s="37">
        <v>735.0</v>
      </c>
      <c r="G36" s="39">
        <v>26.0</v>
      </c>
      <c r="H36" s="37">
        <v>23.0</v>
      </c>
      <c r="I36" s="39">
        <v>1.0</v>
      </c>
      <c r="J36" s="38">
        <v>109.0</v>
      </c>
      <c r="K36" s="39">
        <v>4.0</v>
      </c>
      <c r="L36" s="37">
        <v>86.0</v>
      </c>
      <c r="M36" s="39">
        <v>3.0</v>
      </c>
      <c r="N36" s="37">
        <v>2028.0</v>
      </c>
      <c r="O36" s="39">
        <v>71.0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46"/>
    </row>
    <row r="37" ht="15.75" customHeight="1">
      <c r="A37" s="36" t="s">
        <v>741</v>
      </c>
      <c r="B37" s="36" t="s">
        <v>741</v>
      </c>
      <c r="C37" s="37">
        <v>2244.0</v>
      </c>
      <c r="D37" s="38">
        <v>744.0</v>
      </c>
      <c r="E37" s="39">
        <v>33.0</v>
      </c>
      <c r="F37" s="37">
        <v>650.0</v>
      </c>
      <c r="G37" s="39">
        <v>29.0</v>
      </c>
      <c r="H37" s="37">
        <v>94.0</v>
      </c>
      <c r="I37" s="39">
        <v>4.0</v>
      </c>
      <c r="J37" s="38">
        <v>409.0</v>
      </c>
      <c r="K37" s="39">
        <v>18.0</v>
      </c>
      <c r="L37" s="37">
        <v>315.0</v>
      </c>
      <c r="M37" s="39">
        <v>14.0</v>
      </c>
      <c r="N37" s="37">
        <v>1185.0</v>
      </c>
      <c r="O37" s="39">
        <v>53.0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46"/>
    </row>
    <row r="38" ht="15.75" customHeight="1">
      <c r="A38" s="36" t="s">
        <v>743</v>
      </c>
      <c r="B38" s="36" t="s">
        <v>743</v>
      </c>
      <c r="C38" s="37">
        <v>2658.0</v>
      </c>
      <c r="D38" s="38">
        <v>711.0</v>
      </c>
      <c r="E38" s="39">
        <v>26.0</v>
      </c>
      <c r="F38" s="37">
        <v>381.0</v>
      </c>
      <c r="G38" s="39">
        <v>14.0</v>
      </c>
      <c r="H38" s="37">
        <v>330.0</v>
      </c>
      <c r="I38" s="39">
        <v>12.0</v>
      </c>
      <c r="J38" s="38">
        <v>1134.0</v>
      </c>
      <c r="K38" s="39">
        <v>42.0</v>
      </c>
      <c r="L38" s="37">
        <v>804.0</v>
      </c>
      <c r="M38" s="39">
        <v>30.0</v>
      </c>
      <c r="N38" s="37">
        <v>1143.0</v>
      </c>
      <c r="O38" s="39">
        <v>43.0</v>
      </c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46"/>
    </row>
    <row r="39" ht="15.75" customHeight="1">
      <c r="A39" s="36" t="s">
        <v>747</v>
      </c>
      <c r="B39" s="36" t="s">
        <v>747</v>
      </c>
      <c r="C39" s="37">
        <v>1730.0</v>
      </c>
      <c r="D39" s="38">
        <v>662.0</v>
      </c>
      <c r="E39" s="39">
        <v>38.0</v>
      </c>
      <c r="F39" s="37">
        <v>662.0</v>
      </c>
      <c r="G39" s="39">
        <v>38.0</v>
      </c>
      <c r="H39" s="37">
        <v>0.0</v>
      </c>
      <c r="I39" s="39">
        <v>0.0</v>
      </c>
      <c r="J39" s="38">
        <v>0.0</v>
      </c>
      <c r="K39" s="39">
        <v>0.0</v>
      </c>
      <c r="L39" s="37">
        <v>0.0</v>
      </c>
      <c r="M39" s="39">
        <v>0.0</v>
      </c>
      <c r="N39" s="37">
        <v>1068.0</v>
      </c>
      <c r="O39" s="39">
        <v>62.0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46"/>
    </row>
    <row r="40" ht="15.75" customHeight="1">
      <c r="A40" s="36" t="s">
        <v>748</v>
      </c>
      <c r="B40" s="36" t="s">
        <v>748</v>
      </c>
      <c r="C40" s="37">
        <v>6622.0</v>
      </c>
      <c r="D40" s="38">
        <v>659.0</v>
      </c>
      <c r="E40" s="39">
        <v>10.0</v>
      </c>
      <c r="F40" s="37">
        <v>221.0</v>
      </c>
      <c r="G40" s="39">
        <v>3.0</v>
      </c>
      <c r="H40" s="37">
        <v>438.0</v>
      </c>
      <c r="I40" s="39">
        <v>7.0</v>
      </c>
      <c r="J40" s="38">
        <v>3512.0</v>
      </c>
      <c r="K40" s="39">
        <v>53.0</v>
      </c>
      <c r="L40" s="37">
        <v>3074.0</v>
      </c>
      <c r="M40" s="39">
        <v>46.0</v>
      </c>
      <c r="N40" s="37">
        <v>2889.0</v>
      </c>
      <c r="O40" s="39">
        <v>44.0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46"/>
    </row>
    <row r="41" ht="15.75" customHeight="1">
      <c r="A41" s="36" t="s">
        <v>745</v>
      </c>
      <c r="B41" s="36" t="s">
        <v>745</v>
      </c>
      <c r="C41" s="37">
        <v>1880.0</v>
      </c>
      <c r="D41" s="38">
        <v>659.0</v>
      </c>
      <c r="E41" s="39">
        <v>35.0</v>
      </c>
      <c r="F41" s="37">
        <v>659.0</v>
      </c>
      <c r="G41" s="39">
        <v>35.0</v>
      </c>
      <c r="H41" s="37">
        <v>0.0</v>
      </c>
      <c r="I41" s="39">
        <v>0.0</v>
      </c>
      <c r="J41" s="38">
        <v>0.0</v>
      </c>
      <c r="K41" s="39">
        <v>0.0</v>
      </c>
      <c r="L41" s="37">
        <v>0.0</v>
      </c>
      <c r="M41" s="39">
        <v>0.0</v>
      </c>
      <c r="N41" s="37">
        <v>1221.0</v>
      </c>
      <c r="O41" s="39">
        <v>65.0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46"/>
    </row>
    <row r="42" ht="15.75" customHeight="1">
      <c r="A42" s="36" t="s">
        <v>751</v>
      </c>
      <c r="B42" s="36" t="s">
        <v>751</v>
      </c>
      <c r="C42" s="37">
        <v>1750.0</v>
      </c>
      <c r="D42" s="38">
        <v>653.0</v>
      </c>
      <c r="E42" s="39">
        <v>37.0</v>
      </c>
      <c r="F42" s="37">
        <v>96.0</v>
      </c>
      <c r="G42" s="39">
        <v>5.0</v>
      </c>
      <c r="H42" s="37">
        <v>557.0</v>
      </c>
      <c r="I42" s="39">
        <v>32.0</v>
      </c>
      <c r="J42" s="38">
        <v>1514.0</v>
      </c>
      <c r="K42" s="39">
        <v>87.0</v>
      </c>
      <c r="L42" s="37">
        <v>957.0</v>
      </c>
      <c r="M42" s="39">
        <v>55.0</v>
      </c>
      <c r="N42" s="37">
        <v>140.0</v>
      </c>
      <c r="O42" s="39">
        <v>8.0</v>
      </c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46"/>
    </row>
    <row r="43" ht="15.75" customHeight="1">
      <c r="A43" s="36" t="s">
        <v>744</v>
      </c>
      <c r="B43" s="36" t="s">
        <v>744</v>
      </c>
      <c r="C43" s="37">
        <v>2201.0</v>
      </c>
      <c r="D43" s="38">
        <v>652.0</v>
      </c>
      <c r="E43" s="39">
        <v>30.0</v>
      </c>
      <c r="F43" s="37">
        <v>396.0</v>
      </c>
      <c r="G43" s="39">
        <v>18.0</v>
      </c>
      <c r="H43" s="37">
        <v>256.0</v>
      </c>
      <c r="I43" s="39">
        <v>12.0</v>
      </c>
      <c r="J43" s="38">
        <v>881.0</v>
      </c>
      <c r="K43" s="39">
        <v>40.0</v>
      </c>
      <c r="L43" s="37">
        <v>625.0</v>
      </c>
      <c r="M43" s="39">
        <v>28.0</v>
      </c>
      <c r="N43" s="37">
        <v>924.0</v>
      </c>
      <c r="O43" s="39">
        <v>42.0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46"/>
    </row>
    <row r="44" ht="15.75" customHeight="1">
      <c r="A44" s="36" t="s">
        <v>730</v>
      </c>
      <c r="B44" s="36" t="s">
        <v>738</v>
      </c>
      <c r="C44" s="37">
        <v>2915.0</v>
      </c>
      <c r="D44" s="38">
        <v>597.0</v>
      </c>
      <c r="E44" s="39">
        <v>20.0</v>
      </c>
      <c r="F44" s="37">
        <v>440.0</v>
      </c>
      <c r="G44" s="39">
        <v>15.0</v>
      </c>
      <c r="H44" s="37">
        <v>157.0</v>
      </c>
      <c r="I44" s="39">
        <v>5.0</v>
      </c>
      <c r="J44" s="38">
        <v>616.0</v>
      </c>
      <c r="K44" s="39">
        <v>21.0</v>
      </c>
      <c r="L44" s="37">
        <v>459.0</v>
      </c>
      <c r="M44" s="39">
        <v>16.0</v>
      </c>
      <c r="N44" s="37">
        <v>1859.0</v>
      </c>
      <c r="O44" s="39">
        <v>64.0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46"/>
    </row>
    <row r="45" ht="15.75" customHeight="1">
      <c r="A45" s="36" t="s">
        <v>749</v>
      </c>
      <c r="B45" s="36" t="s">
        <v>749</v>
      </c>
      <c r="C45" s="37">
        <v>1861.0</v>
      </c>
      <c r="D45" s="38">
        <v>513.0</v>
      </c>
      <c r="E45" s="39">
        <v>28.0</v>
      </c>
      <c r="F45" s="37">
        <v>513.0</v>
      </c>
      <c r="G45" s="39">
        <v>28.0</v>
      </c>
      <c r="H45" s="37">
        <v>0.0</v>
      </c>
      <c r="I45" s="39">
        <v>0.0</v>
      </c>
      <c r="J45" s="38">
        <v>0.0</v>
      </c>
      <c r="K45" s="39">
        <v>0.0</v>
      </c>
      <c r="L45" s="37">
        <v>0.0</v>
      </c>
      <c r="M45" s="39">
        <v>0.0</v>
      </c>
      <c r="N45" s="37">
        <v>1348.0</v>
      </c>
      <c r="O45" s="39">
        <v>72.0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46"/>
    </row>
    <row r="46" ht="15.75" customHeight="1">
      <c r="A46" s="36" t="s">
        <v>750</v>
      </c>
      <c r="B46" s="36" t="s">
        <v>750</v>
      </c>
      <c r="C46" s="37">
        <v>1526.0</v>
      </c>
      <c r="D46" s="38">
        <v>471.0</v>
      </c>
      <c r="E46" s="39">
        <v>31.0</v>
      </c>
      <c r="F46" s="37">
        <v>352.0</v>
      </c>
      <c r="G46" s="39">
        <v>23.0</v>
      </c>
      <c r="H46" s="37">
        <v>119.0</v>
      </c>
      <c r="I46" s="39">
        <v>8.0</v>
      </c>
      <c r="J46" s="38">
        <v>366.0</v>
      </c>
      <c r="K46" s="39">
        <v>24.0</v>
      </c>
      <c r="L46" s="37">
        <v>247.0</v>
      </c>
      <c r="M46" s="39">
        <v>16.0</v>
      </c>
      <c r="N46" s="37">
        <v>808.0</v>
      </c>
      <c r="O46" s="39">
        <v>53.0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46"/>
    </row>
    <row r="47" ht="15.75" customHeight="1">
      <c r="A47" s="36" t="s">
        <v>752</v>
      </c>
      <c r="B47" s="36" t="s">
        <v>752</v>
      </c>
      <c r="C47" s="37">
        <v>1552.0</v>
      </c>
      <c r="D47" s="38">
        <v>440.0</v>
      </c>
      <c r="E47" s="39">
        <v>28.0</v>
      </c>
      <c r="F47" s="37">
        <v>435.0</v>
      </c>
      <c r="G47" s="39">
        <v>28.0</v>
      </c>
      <c r="H47" s="37">
        <v>5.0</v>
      </c>
      <c r="I47" s="39">
        <v>0.0</v>
      </c>
      <c r="J47" s="38">
        <v>27.0</v>
      </c>
      <c r="K47" s="39">
        <v>1.0</v>
      </c>
      <c r="L47" s="37">
        <v>22.0</v>
      </c>
      <c r="M47" s="39">
        <v>1.0</v>
      </c>
      <c r="N47" s="37">
        <v>1090.0</v>
      </c>
      <c r="O47" s="39">
        <v>70.0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46"/>
    </row>
    <row r="48" ht="15.75" customHeight="1">
      <c r="A48" s="36" t="s">
        <v>753</v>
      </c>
      <c r="B48" s="36" t="s">
        <v>753</v>
      </c>
      <c r="C48" s="37">
        <v>963.0</v>
      </c>
      <c r="D48" s="38">
        <v>377.0</v>
      </c>
      <c r="E48" s="39">
        <v>39.0</v>
      </c>
      <c r="F48" s="37">
        <v>377.0</v>
      </c>
      <c r="G48" s="39">
        <v>39.0</v>
      </c>
      <c r="H48" s="37">
        <v>0.0</v>
      </c>
      <c r="I48" s="39">
        <v>0.0</v>
      </c>
      <c r="J48" s="38">
        <v>0.0</v>
      </c>
      <c r="K48" s="39">
        <v>0.0</v>
      </c>
      <c r="L48" s="37">
        <v>0.0</v>
      </c>
      <c r="M48" s="39">
        <v>0.0</v>
      </c>
      <c r="N48" s="37">
        <v>586.0</v>
      </c>
      <c r="O48" s="39">
        <v>61.0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46"/>
    </row>
    <row r="49" ht="15.75" customHeight="1">
      <c r="A49" s="36" t="s">
        <v>712</v>
      </c>
      <c r="B49" s="36" t="s">
        <v>754</v>
      </c>
      <c r="C49" s="37">
        <v>583.0</v>
      </c>
      <c r="D49" s="38">
        <v>354.0</v>
      </c>
      <c r="E49" s="39">
        <v>61.0</v>
      </c>
      <c r="F49" s="37">
        <v>0.0</v>
      </c>
      <c r="G49" s="39">
        <v>0.0</v>
      </c>
      <c r="H49" s="37">
        <v>354.0</v>
      </c>
      <c r="I49" s="39">
        <v>61.0</v>
      </c>
      <c r="J49" s="38">
        <v>576.0</v>
      </c>
      <c r="K49" s="39">
        <v>99.0</v>
      </c>
      <c r="L49" s="37">
        <v>222.0</v>
      </c>
      <c r="M49" s="39">
        <v>38.0</v>
      </c>
      <c r="N49" s="37">
        <v>7.0</v>
      </c>
      <c r="O49" s="39">
        <v>1.0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46"/>
    </row>
    <row r="50" ht="15.75" customHeight="1">
      <c r="A50" s="36" t="s">
        <v>756</v>
      </c>
      <c r="B50" s="36" t="s">
        <v>756</v>
      </c>
      <c r="C50" s="37">
        <v>1165.0</v>
      </c>
      <c r="D50" s="38">
        <v>321.0</v>
      </c>
      <c r="E50" s="39">
        <v>28.0</v>
      </c>
      <c r="F50" s="37">
        <v>321.0</v>
      </c>
      <c r="G50" s="39">
        <v>28.0</v>
      </c>
      <c r="H50" s="37">
        <v>0.0</v>
      </c>
      <c r="I50" s="39">
        <v>0.0</v>
      </c>
      <c r="J50" s="38">
        <v>0.0</v>
      </c>
      <c r="K50" s="39">
        <v>0.0</v>
      </c>
      <c r="L50" s="37">
        <v>0.0</v>
      </c>
      <c r="M50" s="39">
        <v>0.0</v>
      </c>
      <c r="N50" s="37">
        <v>844.0</v>
      </c>
      <c r="O50" s="39">
        <v>72.0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46"/>
    </row>
    <row r="51" ht="15.75" customHeight="1">
      <c r="A51" s="36" t="s">
        <v>757</v>
      </c>
      <c r="B51" s="36" t="s">
        <v>757</v>
      </c>
      <c r="C51" s="37">
        <v>999.0</v>
      </c>
      <c r="D51" s="38">
        <v>308.0</v>
      </c>
      <c r="E51" s="39">
        <v>31.0</v>
      </c>
      <c r="F51" s="37">
        <v>26.0</v>
      </c>
      <c r="G51" s="39">
        <v>3.0</v>
      </c>
      <c r="H51" s="37">
        <v>282.0</v>
      </c>
      <c r="I51" s="39">
        <v>28.0</v>
      </c>
      <c r="J51" s="38">
        <v>759.0</v>
      </c>
      <c r="K51" s="39">
        <v>76.0</v>
      </c>
      <c r="L51" s="37">
        <v>477.0</v>
      </c>
      <c r="M51" s="39">
        <v>48.0</v>
      </c>
      <c r="N51" s="37">
        <v>214.0</v>
      </c>
      <c r="O51" s="39">
        <v>21.0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46"/>
    </row>
    <row r="52" ht="15.75" customHeight="1">
      <c r="A52" s="36" t="s">
        <v>755</v>
      </c>
      <c r="B52" s="36" t="s">
        <v>755</v>
      </c>
      <c r="C52" s="37">
        <v>718.0</v>
      </c>
      <c r="D52" s="38">
        <v>291.0</v>
      </c>
      <c r="E52" s="39">
        <v>41.0</v>
      </c>
      <c r="F52" s="37">
        <v>291.0</v>
      </c>
      <c r="G52" s="39">
        <v>41.0</v>
      </c>
      <c r="H52" s="37">
        <v>0.0</v>
      </c>
      <c r="I52" s="39">
        <v>0.0</v>
      </c>
      <c r="J52" s="38">
        <v>0.0</v>
      </c>
      <c r="K52" s="39">
        <v>0.0</v>
      </c>
      <c r="L52" s="37">
        <v>0.0</v>
      </c>
      <c r="M52" s="39">
        <v>0.0</v>
      </c>
      <c r="N52" s="37">
        <v>427.0</v>
      </c>
      <c r="O52" s="39">
        <v>59.0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46"/>
    </row>
    <row r="53" ht="15.75" customHeight="1">
      <c r="A53" s="36" t="s">
        <v>759</v>
      </c>
      <c r="B53" s="36" t="s">
        <v>759</v>
      </c>
      <c r="C53" s="37">
        <v>2699.0</v>
      </c>
      <c r="D53" s="38">
        <v>272.0</v>
      </c>
      <c r="E53" s="39">
        <v>10.0</v>
      </c>
      <c r="F53" s="37">
        <v>272.0</v>
      </c>
      <c r="G53" s="39">
        <v>10.0</v>
      </c>
      <c r="H53" s="37">
        <v>0.0</v>
      </c>
      <c r="I53" s="39">
        <v>0.0</v>
      </c>
      <c r="J53" s="38">
        <v>0.0</v>
      </c>
      <c r="K53" s="39">
        <v>0.0</v>
      </c>
      <c r="L53" s="37">
        <v>0.0</v>
      </c>
      <c r="M53" s="39">
        <v>0.0</v>
      </c>
      <c r="N53" s="37">
        <v>2427.0</v>
      </c>
      <c r="O53" s="39">
        <v>90.0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46"/>
    </row>
    <row r="54" ht="15.75" customHeight="1">
      <c r="A54" s="36" t="s">
        <v>758</v>
      </c>
      <c r="B54" s="36" t="s">
        <v>758</v>
      </c>
      <c r="C54" s="37">
        <v>404.0</v>
      </c>
      <c r="D54" s="38">
        <v>271.0</v>
      </c>
      <c r="E54" s="39">
        <v>67.0</v>
      </c>
      <c r="F54" s="37">
        <v>7.0</v>
      </c>
      <c r="G54" s="39">
        <v>2.0</v>
      </c>
      <c r="H54" s="37">
        <v>264.0</v>
      </c>
      <c r="I54" s="39">
        <v>65.0</v>
      </c>
      <c r="J54" s="38">
        <v>392.0</v>
      </c>
      <c r="K54" s="39">
        <v>97.0</v>
      </c>
      <c r="L54" s="37">
        <v>128.0</v>
      </c>
      <c r="M54" s="39">
        <v>32.0</v>
      </c>
      <c r="N54" s="37">
        <v>5.0</v>
      </c>
      <c r="O54" s="39">
        <v>1.0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46"/>
    </row>
    <row r="55" ht="15.75" customHeight="1">
      <c r="A55" s="36" t="s">
        <v>737</v>
      </c>
      <c r="B55" s="36" t="s">
        <v>761</v>
      </c>
      <c r="C55" s="37">
        <v>1301.0</v>
      </c>
      <c r="D55" s="38">
        <v>234.0</v>
      </c>
      <c r="E55" s="39">
        <v>18.0</v>
      </c>
      <c r="F55" s="37">
        <v>5.0</v>
      </c>
      <c r="G55" s="39">
        <v>0.0</v>
      </c>
      <c r="H55" s="37">
        <v>229.0</v>
      </c>
      <c r="I55" s="39">
        <v>18.0</v>
      </c>
      <c r="J55" s="38">
        <v>1272.0</v>
      </c>
      <c r="K55" s="39">
        <v>98.0</v>
      </c>
      <c r="L55" s="37">
        <v>1043.0</v>
      </c>
      <c r="M55" s="39">
        <v>80.0</v>
      </c>
      <c r="N55" s="37">
        <v>24.0</v>
      </c>
      <c r="O55" s="39">
        <v>2.0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46"/>
    </row>
    <row r="56" ht="15.75" customHeight="1">
      <c r="A56" s="36" t="s">
        <v>762</v>
      </c>
      <c r="B56" s="36" t="s">
        <v>762</v>
      </c>
      <c r="C56" s="37">
        <v>782.0</v>
      </c>
      <c r="D56" s="38">
        <v>226.0</v>
      </c>
      <c r="E56" s="39">
        <v>29.0</v>
      </c>
      <c r="F56" s="37">
        <v>226.0</v>
      </c>
      <c r="G56" s="39">
        <v>29.0</v>
      </c>
      <c r="H56" s="37">
        <v>0.0</v>
      </c>
      <c r="I56" s="39">
        <v>0.0</v>
      </c>
      <c r="J56" s="38">
        <v>0.0</v>
      </c>
      <c r="K56" s="39">
        <v>0.0</v>
      </c>
      <c r="L56" s="37">
        <v>0.0</v>
      </c>
      <c r="M56" s="39">
        <v>0.0</v>
      </c>
      <c r="N56" s="37">
        <v>556.0</v>
      </c>
      <c r="O56" s="39">
        <v>71.0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46"/>
    </row>
    <row r="57" ht="15.75" customHeight="1">
      <c r="A57" s="36" t="s">
        <v>747</v>
      </c>
      <c r="B57" s="36" t="s">
        <v>770</v>
      </c>
      <c r="C57" s="37">
        <v>242.0</v>
      </c>
      <c r="D57" s="38">
        <v>222.0</v>
      </c>
      <c r="E57" s="39">
        <v>92.0</v>
      </c>
      <c r="F57" s="37">
        <v>222.0</v>
      </c>
      <c r="G57" s="39">
        <v>92.0</v>
      </c>
      <c r="H57" s="37">
        <v>0.0</v>
      </c>
      <c r="I57" s="39">
        <v>0.0</v>
      </c>
      <c r="J57" s="38">
        <v>0.0</v>
      </c>
      <c r="K57" s="39">
        <v>0.0</v>
      </c>
      <c r="L57" s="37">
        <v>0.0</v>
      </c>
      <c r="M57" s="39">
        <v>0.0</v>
      </c>
      <c r="N57" s="37">
        <v>20.0</v>
      </c>
      <c r="O57" s="39">
        <v>8.0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46"/>
    </row>
    <row r="58" ht="15.75" customHeight="1">
      <c r="A58" s="36" t="s">
        <v>765</v>
      </c>
      <c r="B58" s="36" t="s">
        <v>765</v>
      </c>
      <c r="C58" s="37">
        <v>520.0</v>
      </c>
      <c r="D58" s="38">
        <v>208.0</v>
      </c>
      <c r="E58" s="39">
        <v>40.0</v>
      </c>
      <c r="F58" s="37">
        <v>208.0</v>
      </c>
      <c r="G58" s="39">
        <v>40.0</v>
      </c>
      <c r="H58" s="37">
        <v>0.0</v>
      </c>
      <c r="I58" s="39">
        <v>0.0</v>
      </c>
      <c r="J58" s="38">
        <v>0.0</v>
      </c>
      <c r="K58" s="39">
        <v>0.0</v>
      </c>
      <c r="L58" s="37">
        <v>0.0</v>
      </c>
      <c r="M58" s="39">
        <v>0.0</v>
      </c>
      <c r="N58" s="37">
        <v>312.0</v>
      </c>
      <c r="O58" s="39">
        <v>60.0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46"/>
    </row>
    <row r="59" ht="15.75" customHeight="1">
      <c r="A59" s="36" t="s">
        <v>760</v>
      </c>
      <c r="B59" s="36" t="s">
        <v>760</v>
      </c>
      <c r="C59" s="37">
        <v>1020.0</v>
      </c>
      <c r="D59" s="38">
        <v>204.0</v>
      </c>
      <c r="E59" s="39">
        <v>20.0</v>
      </c>
      <c r="F59" s="37">
        <v>3.0</v>
      </c>
      <c r="G59" s="39">
        <v>0.0</v>
      </c>
      <c r="H59" s="37">
        <v>201.0</v>
      </c>
      <c r="I59" s="39">
        <v>20.0</v>
      </c>
      <c r="J59" s="38">
        <v>1000.0</v>
      </c>
      <c r="K59" s="39">
        <v>98.0</v>
      </c>
      <c r="L59" s="37">
        <v>799.0</v>
      </c>
      <c r="M59" s="39">
        <v>78.0</v>
      </c>
      <c r="N59" s="37">
        <v>17.0</v>
      </c>
      <c r="O59" s="39">
        <v>2.0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46"/>
    </row>
    <row r="60" ht="15.75" customHeight="1">
      <c r="A60" s="36" t="s">
        <v>763</v>
      </c>
      <c r="B60" s="36" t="s">
        <v>764</v>
      </c>
      <c r="C60" s="37">
        <v>681.0</v>
      </c>
      <c r="D60" s="38">
        <v>204.0</v>
      </c>
      <c r="E60" s="39">
        <v>30.0</v>
      </c>
      <c r="F60" s="37">
        <v>204.0</v>
      </c>
      <c r="G60" s="39">
        <v>30.0</v>
      </c>
      <c r="H60" s="37">
        <v>0.0</v>
      </c>
      <c r="I60" s="39">
        <v>0.0</v>
      </c>
      <c r="J60" s="38">
        <v>0.0</v>
      </c>
      <c r="K60" s="39">
        <v>0.0</v>
      </c>
      <c r="L60" s="37">
        <v>0.0</v>
      </c>
      <c r="M60" s="39">
        <v>0.0</v>
      </c>
      <c r="N60" s="37">
        <v>477.0</v>
      </c>
      <c r="O60" s="39">
        <v>70.0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46"/>
    </row>
    <row r="61" ht="15.75" customHeight="1">
      <c r="A61" s="36" t="s">
        <v>747</v>
      </c>
      <c r="B61" s="36" t="s">
        <v>771</v>
      </c>
      <c r="C61" s="37">
        <v>297.0</v>
      </c>
      <c r="D61" s="38">
        <v>178.0</v>
      </c>
      <c r="E61" s="39">
        <v>60.0</v>
      </c>
      <c r="F61" s="37">
        <v>178.0</v>
      </c>
      <c r="G61" s="39">
        <v>60.0</v>
      </c>
      <c r="H61" s="37">
        <v>0.0</v>
      </c>
      <c r="I61" s="39">
        <v>0.0</v>
      </c>
      <c r="J61" s="38">
        <v>0.0</v>
      </c>
      <c r="K61" s="39">
        <v>0.0</v>
      </c>
      <c r="L61" s="37">
        <v>0.0</v>
      </c>
      <c r="M61" s="39">
        <v>0.0</v>
      </c>
      <c r="N61" s="37">
        <v>119.0</v>
      </c>
      <c r="O61" s="39">
        <v>40.0</v>
      </c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46"/>
    </row>
    <row r="62" ht="15.75" customHeight="1">
      <c r="A62" s="36" t="s">
        <v>766</v>
      </c>
      <c r="B62" s="36" t="s">
        <v>767</v>
      </c>
      <c r="C62" s="37">
        <v>673.0</v>
      </c>
      <c r="D62" s="38">
        <v>161.0</v>
      </c>
      <c r="E62" s="39">
        <v>24.0</v>
      </c>
      <c r="F62" s="37">
        <v>161.0</v>
      </c>
      <c r="G62" s="39">
        <v>24.0</v>
      </c>
      <c r="H62" s="37">
        <v>0.0</v>
      </c>
      <c r="I62" s="39">
        <v>0.0</v>
      </c>
      <c r="J62" s="38">
        <v>0.0</v>
      </c>
      <c r="K62" s="39">
        <v>0.0</v>
      </c>
      <c r="L62" s="37">
        <v>0.0</v>
      </c>
      <c r="M62" s="39">
        <v>0.0</v>
      </c>
      <c r="N62" s="37">
        <v>512.0</v>
      </c>
      <c r="O62" s="39">
        <v>76.0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46"/>
    </row>
    <row r="63" ht="15.75" customHeight="1">
      <c r="A63" s="36" t="s">
        <v>712</v>
      </c>
      <c r="B63" s="36" t="s">
        <v>769</v>
      </c>
      <c r="C63" s="37">
        <v>502.0</v>
      </c>
      <c r="D63" s="38">
        <v>145.0</v>
      </c>
      <c r="E63" s="39">
        <v>29.0</v>
      </c>
      <c r="F63" s="37">
        <v>145.0</v>
      </c>
      <c r="G63" s="39">
        <v>29.0</v>
      </c>
      <c r="H63" s="37">
        <v>0.0</v>
      </c>
      <c r="I63" s="39">
        <v>0.0</v>
      </c>
      <c r="J63" s="38">
        <v>0.0</v>
      </c>
      <c r="K63" s="39">
        <v>0.0</v>
      </c>
      <c r="L63" s="37">
        <v>0.0</v>
      </c>
      <c r="M63" s="39">
        <v>0.0</v>
      </c>
      <c r="N63" s="37">
        <v>357.0</v>
      </c>
      <c r="O63" s="39">
        <v>71.0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46"/>
    </row>
    <row r="64" ht="15.75" customHeight="1">
      <c r="A64" s="36" t="s">
        <v>768</v>
      </c>
      <c r="B64" s="36" t="s">
        <v>768</v>
      </c>
      <c r="C64" s="37">
        <v>367.0</v>
      </c>
      <c r="D64" s="38">
        <v>144.0</v>
      </c>
      <c r="E64" s="39">
        <v>39.0</v>
      </c>
      <c r="F64" s="37">
        <v>144.0</v>
      </c>
      <c r="G64" s="39">
        <v>39.0</v>
      </c>
      <c r="H64" s="37">
        <v>0.0</v>
      </c>
      <c r="I64" s="39">
        <v>0.0</v>
      </c>
      <c r="J64" s="38">
        <v>0.0</v>
      </c>
      <c r="K64" s="39">
        <v>0.0</v>
      </c>
      <c r="L64" s="37">
        <v>0.0</v>
      </c>
      <c r="M64" s="39">
        <v>0.0</v>
      </c>
      <c r="N64" s="37">
        <v>223.0</v>
      </c>
      <c r="O64" s="39">
        <v>61.0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46"/>
    </row>
    <row r="65" ht="15.75" customHeight="1">
      <c r="A65" s="36" t="s">
        <v>773</v>
      </c>
      <c r="B65" s="36" t="s">
        <v>773</v>
      </c>
      <c r="C65" s="37">
        <v>232.0</v>
      </c>
      <c r="D65" s="38">
        <v>94.0</v>
      </c>
      <c r="E65" s="39">
        <v>41.0</v>
      </c>
      <c r="F65" s="37">
        <v>6.0</v>
      </c>
      <c r="G65" s="39">
        <v>3.0</v>
      </c>
      <c r="H65" s="37">
        <v>88.0</v>
      </c>
      <c r="I65" s="39">
        <v>38.0</v>
      </c>
      <c r="J65" s="38">
        <v>211.0</v>
      </c>
      <c r="K65" s="39">
        <v>91.0</v>
      </c>
      <c r="L65" s="37">
        <v>123.0</v>
      </c>
      <c r="M65" s="39">
        <v>53.0</v>
      </c>
      <c r="N65" s="37">
        <v>15.0</v>
      </c>
      <c r="O65" s="39">
        <v>6.0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46"/>
    </row>
    <row r="66" ht="15.75" customHeight="1">
      <c r="A66" s="36" t="s">
        <v>747</v>
      </c>
      <c r="B66" s="36" t="s">
        <v>776</v>
      </c>
      <c r="C66" s="37">
        <v>132.0</v>
      </c>
      <c r="D66" s="38">
        <v>94.0</v>
      </c>
      <c r="E66" s="39">
        <v>71.0</v>
      </c>
      <c r="F66" s="37">
        <v>94.0</v>
      </c>
      <c r="G66" s="39">
        <v>71.0</v>
      </c>
      <c r="H66" s="37">
        <v>0.0</v>
      </c>
      <c r="I66" s="39">
        <v>0.0</v>
      </c>
      <c r="J66" s="38">
        <v>0.0</v>
      </c>
      <c r="K66" s="39">
        <v>0.0</v>
      </c>
      <c r="L66" s="37">
        <v>0.0</v>
      </c>
      <c r="M66" s="39">
        <v>0.0</v>
      </c>
      <c r="N66" s="37">
        <v>38.0</v>
      </c>
      <c r="O66" s="39">
        <v>29.0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46"/>
    </row>
    <row r="67" ht="15.75" customHeight="1">
      <c r="A67" s="36" t="s">
        <v>722</v>
      </c>
      <c r="B67" s="36" t="s">
        <v>774</v>
      </c>
      <c r="C67" s="37">
        <v>129.0</v>
      </c>
      <c r="D67" s="38">
        <v>91.0</v>
      </c>
      <c r="E67" s="39">
        <v>71.0</v>
      </c>
      <c r="F67" s="37">
        <v>91.0</v>
      </c>
      <c r="G67" s="39">
        <v>71.0</v>
      </c>
      <c r="H67" s="37">
        <v>0.0</v>
      </c>
      <c r="I67" s="39">
        <v>0.0</v>
      </c>
      <c r="J67" s="38">
        <v>0.0</v>
      </c>
      <c r="K67" s="39">
        <v>0.0</v>
      </c>
      <c r="L67" s="37">
        <v>0.0</v>
      </c>
      <c r="M67" s="39">
        <v>0.0</v>
      </c>
      <c r="N67" s="37">
        <v>38.0</v>
      </c>
      <c r="O67" s="39">
        <v>29.0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46"/>
    </row>
    <row r="68" ht="15.75" customHeight="1">
      <c r="A68" s="36" t="s">
        <v>772</v>
      </c>
      <c r="B68" s="36" t="s">
        <v>772</v>
      </c>
      <c r="C68" s="37">
        <v>492.0</v>
      </c>
      <c r="D68" s="38">
        <v>84.0</v>
      </c>
      <c r="E68" s="39">
        <v>17.0</v>
      </c>
      <c r="F68" s="37">
        <v>3.0</v>
      </c>
      <c r="G68" s="39">
        <v>1.0</v>
      </c>
      <c r="H68" s="37">
        <v>81.0</v>
      </c>
      <c r="I68" s="39">
        <v>16.0</v>
      </c>
      <c r="J68" s="38">
        <v>434.0</v>
      </c>
      <c r="K68" s="39">
        <v>88.0</v>
      </c>
      <c r="L68" s="37">
        <v>353.0</v>
      </c>
      <c r="M68" s="39">
        <v>72.0</v>
      </c>
      <c r="N68" s="37">
        <v>55.0</v>
      </c>
      <c r="O68" s="39">
        <v>11.0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46"/>
    </row>
    <row r="69" ht="15.75" customHeight="1">
      <c r="A69" s="36" t="s">
        <v>722</v>
      </c>
      <c r="B69" s="36" t="s">
        <v>778</v>
      </c>
      <c r="C69" s="37">
        <v>247.0</v>
      </c>
      <c r="D69" s="38">
        <v>81.0</v>
      </c>
      <c r="E69" s="39">
        <v>33.0</v>
      </c>
      <c r="F69" s="37">
        <v>81.0</v>
      </c>
      <c r="G69" s="39">
        <v>33.0</v>
      </c>
      <c r="H69" s="37">
        <v>0.0</v>
      </c>
      <c r="I69" s="39">
        <v>0.0</v>
      </c>
      <c r="J69" s="38">
        <v>0.0</v>
      </c>
      <c r="K69" s="39">
        <v>0.0</v>
      </c>
      <c r="L69" s="37">
        <v>0.0</v>
      </c>
      <c r="M69" s="39">
        <v>0.0</v>
      </c>
      <c r="N69" s="37">
        <v>166.0</v>
      </c>
      <c r="O69" s="39">
        <v>67.0</v>
      </c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46"/>
    </row>
    <row r="70" ht="15.75" customHeight="1">
      <c r="A70" s="36" t="s">
        <v>780</v>
      </c>
      <c r="B70" s="36" t="s">
        <v>780</v>
      </c>
      <c r="C70" s="37">
        <v>1486.0</v>
      </c>
      <c r="D70" s="38">
        <v>76.0</v>
      </c>
      <c r="E70" s="39">
        <v>5.0</v>
      </c>
      <c r="F70" s="37">
        <v>12.0</v>
      </c>
      <c r="G70" s="39">
        <v>1.0</v>
      </c>
      <c r="H70" s="37">
        <v>64.0</v>
      </c>
      <c r="I70" s="39">
        <v>4.0</v>
      </c>
      <c r="J70" s="38">
        <v>882.0</v>
      </c>
      <c r="K70" s="39">
        <v>59.0</v>
      </c>
      <c r="L70" s="37">
        <v>818.0</v>
      </c>
      <c r="M70" s="39">
        <v>55.0</v>
      </c>
      <c r="N70" s="37">
        <v>592.0</v>
      </c>
      <c r="O70" s="39">
        <v>40.0</v>
      </c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46"/>
    </row>
    <row r="71" ht="15.75" customHeight="1">
      <c r="A71" s="36" t="s">
        <v>717</v>
      </c>
      <c r="B71" s="36" t="s">
        <v>717</v>
      </c>
      <c r="C71" s="37">
        <v>920.0</v>
      </c>
      <c r="D71" s="38">
        <v>76.0</v>
      </c>
      <c r="E71" s="39">
        <v>8.0</v>
      </c>
      <c r="F71" s="37">
        <v>76.0</v>
      </c>
      <c r="G71" s="39">
        <v>8.0</v>
      </c>
      <c r="H71" s="37">
        <v>0.0</v>
      </c>
      <c r="I71" s="39">
        <v>0.0</v>
      </c>
      <c r="J71" s="38">
        <v>0.0</v>
      </c>
      <c r="K71" s="39">
        <v>0.0</v>
      </c>
      <c r="L71" s="37">
        <v>0.0</v>
      </c>
      <c r="M71" s="39">
        <v>0.0</v>
      </c>
      <c r="N71" s="37">
        <v>844.0</v>
      </c>
      <c r="O71" s="39">
        <v>92.0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46"/>
    </row>
    <row r="72" ht="15.75" customHeight="1">
      <c r="A72" s="36" t="s">
        <v>733</v>
      </c>
      <c r="B72" s="36" t="s">
        <v>781</v>
      </c>
      <c r="C72" s="37">
        <v>447.0</v>
      </c>
      <c r="D72" s="38">
        <v>69.0</v>
      </c>
      <c r="E72" s="39">
        <v>15.0</v>
      </c>
      <c r="F72" s="37">
        <v>69.0</v>
      </c>
      <c r="G72" s="39">
        <v>15.0</v>
      </c>
      <c r="H72" s="37">
        <v>0.0</v>
      </c>
      <c r="I72" s="39">
        <v>0.0</v>
      </c>
      <c r="J72" s="38">
        <v>0.0</v>
      </c>
      <c r="K72" s="39">
        <v>0.0</v>
      </c>
      <c r="L72" s="37">
        <v>0.0</v>
      </c>
      <c r="M72" s="39">
        <v>0.0</v>
      </c>
      <c r="N72" s="37">
        <v>378.0</v>
      </c>
      <c r="O72" s="39">
        <v>85.0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46"/>
    </row>
    <row r="73" ht="15.75" customHeight="1">
      <c r="A73" s="36" t="s">
        <v>726</v>
      </c>
      <c r="B73" s="36" t="s">
        <v>775</v>
      </c>
      <c r="C73" s="37">
        <v>606.0</v>
      </c>
      <c r="D73" s="38">
        <v>66.0</v>
      </c>
      <c r="E73" s="39">
        <v>11.0</v>
      </c>
      <c r="F73" s="37">
        <v>66.0</v>
      </c>
      <c r="G73" s="39">
        <v>11.0</v>
      </c>
      <c r="H73" s="37">
        <v>0.0</v>
      </c>
      <c r="I73" s="39">
        <v>0.0</v>
      </c>
      <c r="J73" s="38">
        <v>0.0</v>
      </c>
      <c r="K73" s="39">
        <v>0.0</v>
      </c>
      <c r="L73" s="37">
        <v>0.0</v>
      </c>
      <c r="M73" s="39">
        <v>0.0</v>
      </c>
      <c r="N73" s="37">
        <v>540.0</v>
      </c>
      <c r="O73" s="39">
        <v>89.0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46"/>
    </row>
    <row r="74" ht="15.75" customHeight="1">
      <c r="A74" s="36" t="s">
        <v>705</v>
      </c>
      <c r="B74" s="36" t="s">
        <v>779</v>
      </c>
      <c r="C74" s="37">
        <v>162.0</v>
      </c>
      <c r="D74" s="38">
        <v>65.0</v>
      </c>
      <c r="E74" s="39">
        <v>40.0</v>
      </c>
      <c r="F74" s="37">
        <v>65.0</v>
      </c>
      <c r="G74" s="39">
        <v>40.0</v>
      </c>
      <c r="H74" s="37">
        <v>0.0</v>
      </c>
      <c r="I74" s="39">
        <v>0.0</v>
      </c>
      <c r="J74" s="38">
        <v>0.0</v>
      </c>
      <c r="K74" s="39">
        <v>0.0</v>
      </c>
      <c r="L74" s="37">
        <v>0.0</v>
      </c>
      <c r="M74" s="39">
        <v>0.0</v>
      </c>
      <c r="N74" s="37">
        <v>97.0</v>
      </c>
      <c r="O74" s="39">
        <v>60.0</v>
      </c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46"/>
    </row>
    <row r="75" ht="15.75" customHeight="1">
      <c r="A75" s="36" t="s">
        <v>722</v>
      </c>
      <c r="B75" s="36" t="s">
        <v>777</v>
      </c>
      <c r="C75" s="37">
        <v>210.0</v>
      </c>
      <c r="D75" s="38">
        <v>64.0</v>
      </c>
      <c r="E75" s="39">
        <v>30.0</v>
      </c>
      <c r="F75" s="37">
        <v>64.0</v>
      </c>
      <c r="G75" s="39">
        <v>30.0</v>
      </c>
      <c r="H75" s="37">
        <v>0.0</v>
      </c>
      <c r="I75" s="39">
        <v>0.0</v>
      </c>
      <c r="J75" s="38">
        <v>0.0</v>
      </c>
      <c r="K75" s="39">
        <v>0.0</v>
      </c>
      <c r="L75" s="37">
        <v>0.0</v>
      </c>
      <c r="M75" s="39">
        <v>0.0</v>
      </c>
      <c r="N75" s="37">
        <v>146.0</v>
      </c>
      <c r="O75" s="39">
        <v>70.0</v>
      </c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46"/>
    </row>
    <row r="76" ht="15.75" customHeight="1">
      <c r="A76" s="36" t="s">
        <v>726</v>
      </c>
      <c r="B76" s="36" t="s">
        <v>786</v>
      </c>
      <c r="C76" s="37">
        <v>385.0</v>
      </c>
      <c r="D76" s="38">
        <v>38.0</v>
      </c>
      <c r="E76" s="39">
        <v>10.0</v>
      </c>
      <c r="F76" s="37">
        <v>38.0</v>
      </c>
      <c r="G76" s="39">
        <v>10.0</v>
      </c>
      <c r="H76" s="37">
        <v>0.0</v>
      </c>
      <c r="I76" s="39">
        <v>0.0</v>
      </c>
      <c r="J76" s="38">
        <v>0.0</v>
      </c>
      <c r="K76" s="39">
        <v>0.0</v>
      </c>
      <c r="L76" s="37">
        <v>0.0</v>
      </c>
      <c r="M76" s="39">
        <v>0.0</v>
      </c>
      <c r="N76" s="37">
        <v>347.0</v>
      </c>
      <c r="O76" s="39">
        <v>90.0</v>
      </c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46"/>
    </row>
    <row r="77" ht="15.75" customHeight="1">
      <c r="A77" s="36" t="s">
        <v>719</v>
      </c>
      <c r="B77" s="36" t="s">
        <v>782</v>
      </c>
      <c r="C77" s="37">
        <v>255.0</v>
      </c>
      <c r="D77" s="38">
        <v>35.0</v>
      </c>
      <c r="E77" s="39">
        <v>14.0</v>
      </c>
      <c r="F77" s="37">
        <v>35.0</v>
      </c>
      <c r="G77" s="39">
        <v>14.0</v>
      </c>
      <c r="H77" s="37">
        <v>0.0</v>
      </c>
      <c r="I77" s="39">
        <v>0.0</v>
      </c>
      <c r="J77" s="38">
        <v>0.0</v>
      </c>
      <c r="K77" s="39">
        <v>0.0</v>
      </c>
      <c r="L77" s="37">
        <v>0.0</v>
      </c>
      <c r="M77" s="39">
        <v>0.0</v>
      </c>
      <c r="N77" s="37">
        <v>220.0</v>
      </c>
      <c r="O77" s="39">
        <v>86.0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46"/>
    </row>
    <row r="78" ht="15.75" customHeight="1">
      <c r="A78" s="36" t="s">
        <v>733</v>
      </c>
      <c r="B78" s="36" t="s">
        <v>792</v>
      </c>
      <c r="C78" s="37">
        <v>180.0</v>
      </c>
      <c r="D78" s="38">
        <v>33.0</v>
      </c>
      <c r="E78" s="39">
        <v>18.0</v>
      </c>
      <c r="F78" s="37">
        <v>33.0</v>
      </c>
      <c r="G78" s="39">
        <v>18.0</v>
      </c>
      <c r="H78" s="37">
        <v>0.0</v>
      </c>
      <c r="I78" s="39">
        <v>0.0</v>
      </c>
      <c r="J78" s="38">
        <v>0.0</v>
      </c>
      <c r="K78" s="39">
        <v>0.0</v>
      </c>
      <c r="L78" s="37">
        <v>0.0</v>
      </c>
      <c r="M78" s="39">
        <v>0.0</v>
      </c>
      <c r="N78" s="37">
        <v>147.0</v>
      </c>
      <c r="O78" s="39">
        <v>82.0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46"/>
    </row>
    <row r="79" ht="15.75" customHeight="1">
      <c r="A79" s="36" t="s">
        <v>766</v>
      </c>
      <c r="B79" s="36" t="s">
        <v>784</v>
      </c>
      <c r="C79" s="37">
        <v>40.0</v>
      </c>
      <c r="D79" s="38">
        <v>33.0</v>
      </c>
      <c r="E79" s="39">
        <v>82.0</v>
      </c>
      <c r="F79" s="37">
        <v>33.0</v>
      </c>
      <c r="G79" s="39">
        <v>82.0</v>
      </c>
      <c r="H79" s="37">
        <v>0.0</v>
      </c>
      <c r="I79" s="39">
        <v>0.0</v>
      </c>
      <c r="J79" s="38">
        <v>0.0</v>
      </c>
      <c r="K79" s="39">
        <v>0.0</v>
      </c>
      <c r="L79" s="37">
        <v>0.0</v>
      </c>
      <c r="M79" s="39">
        <v>0.0</v>
      </c>
      <c r="N79" s="37">
        <v>7.0</v>
      </c>
      <c r="O79" s="39">
        <v>18.0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46"/>
    </row>
    <row r="80" ht="15.75" customHeight="1">
      <c r="A80" s="36" t="s">
        <v>783</v>
      </c>
      <c r="B80" s="36" t="s">
        <v>783</v>
      </c>
      <c r="C80" s="37">
        <v>91.0</v>
      </c>
      <c r="D80" s="38">
        <v>32.0</v>
      </c>
      <c r="E80" s="39">
        <v>35.0</v>
      </c>
      <c r="F80" s="37">
        <v>32.0</v>
      </c>
      <c r="G80" s="39">
        <v>35.0</v>
      </c>
      <c r="H80" s="37">
        <v>0.0</v>
      </c>
      <c r="I80" s="39">
        <v>0.0</v>
      </c>
      <c r="J80" s="38">
        <v>0.0</v>
      </c>
      <c r="K80" s="39">
        <v>0.0</v>
      </c>
      <c r="L80" s="37">
        <v>0.0</v>
      </c>
      <c r="M80" s="39">
        <v>0.0</v>
      </c>
      <c r="N80" s="37">
        <v>59.0</v>
      </c>
      <c r="O80" s="39">
        <v>65.0</v>
      </c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46"/>
    </row>
    <row r="81" ht="15.75" customHeight="1">
      <c r="A81" s="36" t="s">
        <v>785</v>
      </c>
      <c r="B81" s="36" t="s">
        <v>785</v>
      </c>
      <c r="C81" s="37">
        <v>2501.0</v>
      </c>
      <c r="D81" s="38">
        <v>29.0</v>
      </c>
      <c r="E81" s="39">
        <v>1.0</v>
      </c>
      <c r="F81" s="37">
        <v>29.0</v>
      </c>
      <c r="G81" s="39">
        <v>1.0</v>
      </c>
      <c r="H81" s="37">
        <v>0.0</v>
      </c>
      <c r="I81" s="39">
        <v>0.0</v>
      </c>
      <c r="J81" s="38">
        <v>0.0</v>
      </c>
      <c r="K81" s="39">
        <v>0.0</v>
      </c>
      <c r="L81" s="37">
        <v>0.0</v>
      </c>
      <c r="M81" s="39">
        <v>0.0</v>
      </c>
      <c r="N81" s="37">
        <v>2472.0</v>
      </c>
      <c r="O81" s="39">
        <v>99.0</v>
      </c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46"/>
    </row>
    <row r="82" ht="15.75" customHeight="1">
      <c r="A82" s="36" t="s">
        <v>747</v>
      </c>
      <c r="B82" s="36" t="s">
        <v>788</v>
      </c>
      <c r="C82" s="37">
        <v>184.0</v>
      </c>
      <c r="D82" s="38">
        <v>28.0</v>
      </c>
      <c r="E82" s="39">
        <v>15.0</v>
      </c>
      <c r="F82" s="37">
        <v>28.0</v>
      </c>
      <c r="G82" s="39">
        <v>15.0</v>
      </c>
      <c r="H82" s="37">
        <v>0.0</v>
      </c>
      <c r="I82" s="39">
        <v>0.0</v>
      </c>
      <c r="J82" s="38">
        <v>0.0</v>
      </c>
      <c r="K82" s="39">
        <v>0.0</v>
      </c>
      <c r="L82" s="37">
        <v>0.0</v>
      </c>
      <c r="M82" s="39">
        <v>0.0</v>
      </c>
      <c r="N82" s="37">
        <v>156.0</v>
      </c>
      <c r="O82" s="39">
        <v>85.0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46"/>
    </row>
    <row r="83" ht="15.75" customHeight="1">
      <c r="A83" s="36" t="s">
        <v>722</v>
      </c>
      <c r="B83" s="36" t="s">
        <v>794</v>
      </c>
      <c r="C83" s="37">
        <v>1136.0</v>
      </c>
      <c r="D83" s="38">
        <v>21.0</v>
      </c>
      <c r="E83" s="39">
        <v>2.0</v>
      </c>
      <c r="F83" s="37">
        <v>21.0</v>
      </c>
      <c r="G83" s="39">
        <v>2.0</v>
      </c>
      <c r="H83" s="37">
        <v>0.0</v>
      </c>
      <c r="I83" s="39">
        <v>0.0</v>
      </c>
      <c r="J83" s="38">
        <v>0.0</v>
      </c>
      <c r="K83" s="39">
        <v>0.0</v>
      </c>
      <c r="L83" s="37">
        <v>0.0</v>
      </c>
      <c r="M83" s="39">
        <v>0.0</v>
      </c>
      <c r="N83" s="37">
        <v>1115.0</v>
      </c>
      <c r="O83" s="39">
        <v>98.0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46"/>
    </row>
    <row r="84" ht="15.75" customHeight="1">
      <c r="A84" s="36" t="s">
        <v>802</v>
      </c>
      <c r="B84" s="36" t="s">
        <v>802</v>
      </c>
      <c r="C84" s="37">
        <v>261.0</v>
      </c>
      <c r="D84" s="38">
        <v>21.0</v>
      </c>
      <c r="E84" s="39">
        <v>8.0</v>
      </c>
      <c r="F84" s="37">
        <v>14.0</v>
      </c>
      <c r="G84" s="39">
        <v>5.0</v>
      </c>
      <c r="H84" s="37">
        <v>7.0</v>
      </c>
      <c r="I84" s="39">
        <v>3.0</v>
      </c>
      <c r="J84" s="38">
        <v>191.0</v>
      </c>
      <c r="K84" s="39">
        <v>73.0</v>
      </c>
      <c r="L84" s="37">
        <v>184.0</v>
      </c>
      <c r="M84" s="39">
        <v>70.0</v>
      </c>
      <c r="N84" s="37">
        <v>56.0</v>
      </c>
      <c r="O84" s="39">
        <v>21.0</v>
      </c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46"/>
    </row>
    <row r="85" ht="15.75" customHeight="1">
      <c r="A85" s="36" t="s">
        <v>790</v>
      </c>
      <c r="B85" s="36" t="s">
        <v>790</v>
      </c>
      <c r="C85" s="37">
        <v>91.0</v>
      </c>
      <c r="D85" s="38">
        <v>20.0</v>
      </c>
      <c r="E85" s="39">
        <v>22.0</v>
      </c>
      <c r="F85" s="37">
        <v>20.0</v>
      </c>
      <c r="G85" s="39">
        <v>22.0</v>
      </c>
      <c r="H85" s="37">
        <v>0.0</v>
      </c>
      <c r="I85" s="39">
        <v>0.0</v>
      </c>
      <c r="J85" s="38">
        <v>0.0</v>
      </c>
      <c r="K85" s="39">
        <v>0.0</v>
      </c>
      <c r="L85" s="37">
        <v>0.0</v>
      </c>
      <c r="M85" s="39">
        <v>0.0</v>
      </c>
      <c r="N85" s="37">
        <v>71.0</v>
      </c>
      <c r="O85" s="39">
        <v>78.0</v>
      </c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46"/>
    </row>
    <row r="86" ht="15.75" customHeight="1">
      <c r="A86" s="36" t="s">
        <v>705</v>
      </c>
      <c r="B86" s="36" t="s">
        <v>789</v>
      </c>
      <c r="C86" s="37">
        <v>25.0</v>
      </c>
      <c r="D86" s="38">
        <v>16.0</v>
      </c>
      <c r="E86" s="39">
        <v>64.0</v>
      </c>
      <c r="F86" s="37">
        <v>16.0</v>
      </c>
      <c r="G86" s="39">
        <v>64.0</v>
      </c>
      <c r="H86" s="37">
        <v>0.0</v>
      </c>
      <c r="I86" s="39">
        <v>0.0</v>
      </c>
      <c r="J86" s="38">
        <v>0.0</v>
      </c>
      <c r="K86" s="39">
        <v>0.0</v>
      </c>
      <c r="L86" s="37">
        <v>0.0</v>
      </c>
      <c r="M86" s="39">
        <v>0.0</v>
      </c>
      <c r="N86" s="37">
        <v>9.0</v>
      </c>
      <c r="O86" s="39">
        <v>36.0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46"/>
    </row>
    <row r="87" ht="15.75" customHeight="1">
      <c r="A87" s="36" t="s">
        <v>825</v>
      </c>
      <c r="B87" s="36" t="s">
        <v>825</v>
      </c>
      <c r="C87" s="37">
        <v>126.0</v>
      </c>
      <c r="D87" s="38">
        <v>14.0</v>
      </c>
      <c r="E87" s="39">
        <v>11.0</v>
      </c>
      <c r="F87" s="37">
        <v>14.0</v>
      </c>
      <c r="G87" s="39">
        <v>11.0</v>
      </c>
      <c r="H87" s="37">
        <v>0.0</v>
      </c>
      <c r="I87" s="39">
        <v>0.0</v>
      </c>
      <c r="J87" s="38">
        <v>0.0</v>
      </c>
      <c r="K87" s="39">
        <v>0.0</v>
      </c>
      <c r="L87" s="37">
        <v>0.0</v>
      </c>
      <c r="M87" s="39">
        <v>0.0</v>
      </c>
      <c r="N87" s="37">
        <v>112.0</v>
      </c>
      <c r="O87" s="39">
        <v>89.0</v>
      </c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46"/>
    </row>
    <row r="88" ht="15.75" customHeight="1">
      <c r="A88" s="36" t="s">
        <v>795</v>
      </c>
      <c r="B88" s="36" t="s">
        <v>795</v>
      </c>
      <c r="C88" s="37">
        <v>1568.0</v>
      </c>
      <c r="D88" s="38">
        <v>12.0</v>
      </c>
      <c r="E88" s="39">
        <v>1.0</v>
      </c>
      <c r="F88" s="37">
        <v>9.0</v>
      </c>
      <c r="G88" s="39">
        <v>1.0</v>
      </c>
      <c r="H88" s="37">
        <v>3.0</v>
      </c>
      <c r="I88" s="39">
        <v>0.0</v>
      </c>
      <c r="J88" s="38">
        <v>1146.0</v>
      </c>
      <c r="K88" s="39">
        <v>73.0</v>
      </c>
      <c r="L88" s="37">
        <v>1143.0</v>
      </c>
      <c r="M88" s="39">
        <v>73.0</v>
      </c>
      <c r="N88" s="37">
        <v>413.0</v>
      </c>
      <c r="O88" s="39">
        <v>26.0</v>
      </c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46"/>
    </row>
    <row r="89" ht="15.75" customHeight="1">
      <c r="A89" s="36" t="s">
        <v>805</v>
      </c>
      <c r="B89" s="36" t="s">
        <v>805</v>
      </c>
      <c r="C89" s="37">
        <v>19.0</v>
      </c>
      <c r="D89" s="38">
        <v>12.0</v>
      </c>
      <c r="E89" s="39">
        <v>63.0</v>
      </c>
      <c r="F89" s="37">
        <v>0.0</v>
      </c>
      <c r="G89" s="39">
        <v>0.0</v>
      </c>
      <c r="H89" s="37">
        <v>12.0</v>
      </c>
      <c r="I89" s="39">
        <v>63.0</v>
      </c>
      <c r="J89" s="38">
        <v>19.0</v>
      </c>
      <c r="K89" s="39">
        <v>100.0</v>
      </c>
      <c r="L89" s="37">
        <v>7.0</v>
      </c>
      <c r="M89" s="39">
        <v>37.0</v>
      </c>
      <c r="N89" s="37">
        <v>0.0</v>
      </c>
      <c r="O89" s="39">
        <v>0.0</v>
      </c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46"/>
    </row>
    <row r="90" ht="15.75" customHeight="1">
      <c r="A90" s="36" t="s">
        <v>722</v>
      </c>
      <c r="B90" s="36" t="s">
        <v>797</v>
      </c>
      <c r="C90" s="37">
        <v>320.0</v>
      </c>
      <c r="D90" s="38">
        <v>8.0</v>
      </c>
      <c r="E90" s="39">
        <v>2.0</v>
      </c>
      <c r="F90" s="37">
        <v>8.0</v>
      </c>
      <c r="G90" s="39">
        <v>2.0</v>
      </c>
      <c r="H90" s="37">
        <v>0.0</v>
      </c>
      <c r="I90" s="39">
        <v>0.0</v>
      </c>
      <c r="J90" s="38">
        <v>0.0</v>
      </c>
      <c r="K90" s="39">
        <v>0.0</v>
      </c>
      <c r="L90" s="37">
        <v>0.0</v>
      </c>
      <c r="M90" s="39">
        <v>0.0</v>
      </c>
      <c r="N90" s="37">
        <v>312.0</v>
      </c>
      <c r="O90" s="39">
        <v>98.0</v>
      </c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46"/>
    </row>
    <row r="91" ht="15.75" customHeight="1">
      <c r="A91" s="36" t="s">
        <v>798</v>
      </c>
      <c r="B91" s="36" t="s">
        <v>798</v>
      </c>
      <c r="C91" s="37">
        <v>93.0</v>
      </c>
      <c r="D91" s="38">
        <v>8.0</v>
      </c>
      <c r="E91" s="39">
        <v>9.0</v>
      </c>
      <c r="F91" s="37">
        <v>8.0</v>
      </c>
      <c r="G91" s="39">
        <v>9.0</v>
      </c>
      <c r="H91" s="37">
        <v>0.0</v>
      </c>
      <c r="I91" s="39">
        <v>0.0</v>
      </c>
      <c r="J91" s="38">
        <v>0.0</v>
      </c>
      <c r="K91" s="39">
        <v>0.0</v>
      </c>
      <c r="L91" s="37">
        <v>0.0</v>
      </c>
      <c r="M91" s="39">
        <v>0.0</v>
      </c>
      <c r="N91" s="37">
        <v>85.0</v>
      </c>
      <c r="O91" s="39">
        <v>91.0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46"/>
    </row>
    <row r="92" ht="15.75" customHeight="1">
      <c r="A92" s="36" t="s">
        <v>722</v>
      </c>
      <c r="B92" s="36" t="s">
        <v>796</v>
      </c>
      <c r="C92" s="37">
        <v>108.0</v>
      </c>
      <c r="D92" s="38">
        <v>7.0</v>
      </c>
      <c r="E92" s="39">
        <v>6.0</v>
      </c>
      <c r="F92" s="37">
        <v>7.0</v>
      </c>
      <c r="G92" s="39">
        <v>6.0</v>
      </c>
      <c r="H92" s="37">
        <v>0.0</v>
      </c>
      <c r="I92" s="39">
        <v>0.0</v>
      </c>
      <c r="J92" s="38">
        <v>0.0</v>
      </c>
      <c r="K92" s="39">
        <v>0.0</v>
      </c>
      <c r="L92" s="37">
        <v>0.0</v>
      </c>
      <c r="M92" s="39">
        <v>0.0</v>
      </c>
      <c r="N92" s="37">
        <v>101.0</v>
      </c>
      <c r="O92" s="39">
        <v>94.0</v>
      </c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46"/>
    </row>
    <row r="93" ht="15.75" customHeight="1">
      <c r="A93" s="36" t="s">
        <v>712</v>
      </c>
      <c r="B93" s="36" t="s">
        <v>799</v>
      </c>
      <c r="C93" s="37">
        <v>9.0</v>
      </c>
      <c r="D93" s="38">
        <v>7.0</v>
      </c>
      <c r="E93" s="39">
        <v>78.0</v>
      </c>
      <c r="F93" s="37">
        <v>7.0</v>
      </c>
      <c r="G93" s="39">
        <v>78.0</v>
      </c>
      <c r="H93" s="37">
        <v>0.0</v>
      </c>
      <c r="I93" s="39">
        <v>0.0</v>
      </c>
      <c r="J93" s="38">
        <v>0.0</v>
      </c>
      <c r="K93" s="39">
        <v>0.0</v>
      </c>
      <c r="L93" s="37">
        <v>0.0</v>
      </c>
      <c r="M93" s="39">
        <v>0.0</v>
      </c>
      <c r="N93" s="37">
        <v>2.0</v>
      </c>
      <c r="O93" s="39">
        <v>22.0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46"/>
    </row>
    <row r="94" ht="15.75" customHeight="1">
      <c r="A94" s="36" t="s">
        <v>800</v>
      </c>
      <c r="B94" s="36" t="s">
        <v>801</v>
      </c>
      <c r="C94" s="37">
        <v>258.0</v>
      </c>
      <c r="D94" s="38">
        <v>4.0</v>
      </c>
      <c r="E94" s="39">
        <v>2.0</v>
      </c>
      <c r="F94" s="37">
        <v>4.0</v>
      </c>
      <c r="G94" s="39">
        <v>2.0</v>
      </c>
      <c r="H94" s="37">
        <v>0.0</v>
      </c>
      <c r="I94" s="39">
        <v>0.0</v>
      </c>
      <c r="J94" s="38">
        <v>0.0</v>
      </c>
      <c r="K94" s="39">
        <v>0.0</v>
      </c>
      <c r="L94" s="37">
        <v>0.0</v>
      </c>
      <c r="M94" s="39">
        <v>0.0</v>
      </c>
      <c r="N94" s="37">
        <v>254.0</v>
      </c>
      <c r="O94" s="39">
        <v>98.0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46"/>
    </row>
    <row r="95" ht="15.75" customHeight="1">
      <c r="A95" s="36" t="s">
        <v>793</v>
      </c>
      <c r="B95" s="36" t="s">
        <v>793</v>
      </c>
      <c r="C95" s="37">
        <v>1092.0</v>
      </c>
      <c r="D95" s="38">
        <v>3.0</v>
      </c>
      <c r="E95" s="39">
        <v>0.0</v>
      </c>
      <c r="F95" s="37">
        <v>3.0</v>
      </c>
      <c r="G95" s="39">
        <v>0.0</v>
      </c>
      <c r="H95" s="37">
        <v>0.0</v>
      </c>
      <c r="I95" s="39">
        <v>0.0</v>
      </c>
      <c r="J95" s="38">
        <v>0.0</v>
      </c>
      <c r="K95" s="39">
        <v>0.0</v>
      </c>
      <c r="L95" s="37">
        <v>0.0</v>
      </c>
      <c r="M95" s="39">
        <v>0.0</v>
      </c>
      <c r="N95" s="37">
        <v>1089.0</v>
      </c>
      <c r="O95" s="39">
        <v>100.0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46"/>
    </row>
    <row r="96" ht="15.75" customHeight="1">
      <c r="A96" s="36" t="s">
        <v>766</v>
      </c>
      <c r="B96" s="36" t="s">
        <v>787</v>
      </c>
      <c r="C96" s="37">
        <v>140.0</v>
      </c>
      <c r="D96" s="38">
        <v>3.0</v>
      </c>
      <c r="E96" s="39">
        <v>2.0</v>
      </c>
      <c r="F96" s="37">
        <v>3.0</v>
      </c>
      <c r="G96" s="39">
        <v>2.0</v>
      </c>
      <c r="H96" s="37">
        <v>0.0</v>
      </c>
      <c r="I96" s="39">
        <v>0.0</v>
      </c>
      <c r="J96" s="38">
        <v>0.0</v>
      </c>
      <c r="K96" s="39">
        <v>0.0</v>
      </c>
      <c r="L96" s="37">
        <v>0.0</v>
      </c>
      <c r="M96" s="39">
        <v>0.0</v>
      </c>
      <c r="N96" s="37">
        <v>137.0</v>
      </c>
      <c r="O96" s="39">
        <v>98.0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46"/>
    </row>
    <row r="97" ht="15.75" customHeight="1">
      <c r="A97" s="36" t="s">
        <v>832</v>
      </c>
      <c r="B97" s="36" t="s">
        <v>832</v>
      </c>
      <c r="C97" s="37">
        <v>1566.0</v>
      </c>
      <c r="D97" s="38">
        <v>2.0</v>
      </c>
      <c r="E97" s="39">
        <v>0.0</v>
      </c>
      <c r="F97" s="37">
        <v>2.0</v>
      </c>
      <c r="G97" s="39">
        <v>0.0</v>
      </c>
      <c r="H97" s="37">
        <v>0.0</v>
      </c>
      <c r="I97" s="39">
        <v>0.0</v>
      </c>
      <c r="J97" s="38">
        <v>0.0</v>
      </c>
      <c r="K97" s="39">
        <v>0.0</v>
      </c>
      <c r="L97" s="37">
        <v>0.0</v>
      </c>
      <c r="M97" s="39">
        <v>0.0</v>
      </c>
      <c r="N97" s="37">
        <v>1564.0</v>
      </c>
      <c r="O97" s="39">
        <v>100.0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46"/>
    </row>
    <row r="98" ht="15.75" customHeight="1">
      <c r="A98" s="36" t="s">
        <v>812</v>
      </c>
      <c r="B98" s="36" t="s">
        <v>812</v>
      </c>
      <c r="C98" s="37">
        <v>317.0</v>
      </c>
      <c r="D98" s="38">
        <v>2.0</v>
      </c>
      <c r="E98" s="39">
        <v>1.0</v>
      </c>
      <c r="F98" s="37">
        <v>2.0</v>
      </c>
      <c r="G98" s="39">
        <v>1.0</v>
      </c>
      <c r="H98" s="37">
        <v>0.0</v>
      </c>
      <c r="I98" s="39">
        <v>0.0</v>
      </c>
      <c r="J98" s="38">
        <v>0.0</v>
      </c>
      <c r="K98" s="39">
        <v>0.0</v>
      </c>
      <c r="L98" s="37">
        <v>0.0</v>
      </c>
      <c r="M98" s="39">
        <v>0.0</v>
      </c>
      <c r="N98" s="37">
        <v>315.0</v>
      </c>
      <c r="O98" s="39">
        <v>99.0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46"/>
    </row>
    <row r="99" ht="15.75" customHeight="1">
      <c r="A99" s="36" t="s">
        <v>837</v>
      </c>
      <c r="B99" s="36" t="s">
        <v>837</v>
      </c>
      <c r="C99" s="37">
        <v>36.0</v>
      </c>
      <c r="D99" s="38">
        <v>2.0</v>
      </c>
      <c r="E99" s="39">
        <v>6.0</v>
      </c>
      <c r="F99" s="37">
        <v>0.0</v>
      </c>
      <c r="G99" s="39">
        <v>0.0</v>
      </c>
      <c r="H99" s="37">
        <v>2.0</v>
      </c>
      <c r="I99" s="39">
        <v>6.0</v>
      </c>
      <c r="J99" s="38">
        <v>36.0</v>
      </c>
      <c r="K99" s="39">
        <v>100.0</v>
      </c>
      <c r="L99" s="37">
        <v>34.0</v>
      </c>
      <c r="M99" s="39">
        <v>94.0</v>
      </c>
      <c r="N99" s="37">
        <v>0.0</v>
      </c>
      <c r="O99" s="39">
        <v>0.0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46"/>
    </row>
    <row r="100" ht="15.75" customHeight="1">
      <c r="A100" s="36" t="s">
        <v>804</v>
      </c>
      <c r="B100" s="36" t="s">
        <v>804</v>
      </c>
      <c r="C100" s="37">
        <v>10.0</v>
      </c>
      <c r="D100" s="38">
        <v>2.0</v>
      </c>
      <c r="E100" s="39">
        <v>20.0</v>
      </c>
      <c r="F100" s="37">
        <v>2.0</v>
      </c>
      <c r="G100" s="39">
        <v>20.0</v>
      </c>
      <c r="H100" s="37">
        <v>0.0</v>
      </c>
      <c r="I100" s="39">
        <v>0.0</v>
      </c>
      <c r="J100" s="38">
        <v>0.0</v>
      </c>
      <c r="K100" s="39">
        <v>0.0</v>
      </c>
      <c r="L100" s="37">
        <v>0.0</v>
      </c>
      <c r="M100" s="39">
        <v>0.0</v>
      </c>
      <c r="N100" s="37">
        <v>8.0</v>
      </c>
      <c r="O100" s="39">
        <v>80.0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46"/>
    </row>
    <row r="101" ht="15.75" customHeight="1">
      <c r="A101" s="36" t="s">
        <v>803</v>
      </c>
      <c r="B101" s="36" t="s">
        <v>803</v>
      </c>
      <c r="C101" s="37">
        <v>9.0</v>
      </c>
      <c r="D101" s="38">
        <v>2.0</v>
      </c>
      <c r="E101" s="39">
        <v>22.0</v>
      </c>
      <c r="F101" s="37">
        <v>2.0</v>
      </c>
      <c r="G101" s="39">
        <v>22.0</v>
      </c>
      <c r="H101" s="37">
        <v>0.0</v>
      </c>
      <c r="I101" s="39">
        <v>0.0</v>
      </c>
      <c r="J101" s="38">
        <v>0.0</v>
      </c>
      <c r="K101" s="39">
        <v>0.0</v>
      </c>
      <c r="L101" s="37">
        <v>0.0</v>
      </c>
      <c r="M101" s="39">
        <v>0.0</v>
      </c>
      <c r="N101" s="37">
        <v>7.0</v>
      </c>
      <c r="O101" s="39">
        <v>78.0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46"/>
    </row>
    <row r="102" ht="15.75" customHeight="1">
      <c r="A102" s="36" t="s">
        <v>712</v>
      </c>
      <c r="B102" s="36" t="s">
        <v>807</v>
      </c>
      <c r="C102" s="37">
        <v>56.0</v>
      </c>
      <c r="D102" s="38">
        <v>1.0</v>
      </c>
      <c r="E102" s="39">
        <v>2.0</v>
      </c>
      <c r="F102" s="37">
        <v>1.0</v>
      </c>
      <c r="G102" s="39">
        <v>2.0</v>
      </c>
      <c r="H102" s="37">
        <v>0.0</v>
      </c>
      <c r="I102" s="39">
        <v>0.0</v>
      </c>
      <c r="J102" s="38">
        <v>0.0</v>
      </c>
      <c r="K102" s="39">
        <v>0.0</v>
      </c>
      <c r="L102" s="37">
        <v>0.0</v>
      </c>
      <c r="M102" s="39">
        <v>0.0</v>
      </c>
      <c r="N102" s="37">
        <v>55.0</v>
      </c>
      <c r="O102" s="39">
        <v>98.0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46"/>
    </row>
    <row r="103" ht="15.75" customHeight="1">
      <c r="A103" s="36" t="s">
        <v>806</v>
      </c>
      <c r="B103" s="36" t="s">
        <v>806</v>
      </c>
      <c r="C103" s="37">
        <v>4.0</v>
      </c>
      <c r="D103" s="38">
        <v>1.0</v>
      </c>
      <c r="E103" s="39">
        <v>25.0</v>
      </c>
      <c r="F103" s="37">
        <v>1.0</v>
      </c>
      <c r="G103" s="39">
        <v>25.0</v>
      </c>
      <c r="H103" s="37">
        <v>0.0</v>
      </c>
      <c r="I103" s="39">
        <v>0.0</v>
      </c>
      <c r="J103" s="38">
        <v>0.0</v>
      </c>
      <c r="K103" s="39">
        <v>0.0</v>
      </c>
      <c r="L103" s="37">
        <v>0.0</v>
      </c>
      <c r="M103" s="39">
        <v>0.0</v>
      </c>
      <c r="N103" s="37">
        <v>3.0</v>
      </c>
      <c r="O103" s="39">
        <v>75.0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46"/>
    </row>
    <row r="104" ht="15.75" customHeight="1">
      <c r="A104" s="36" t="s">
        <v>712</v>
      </c>
      <c r="B104" s="36" t="s">
        <v>821</v>
      </c>
      <c r="C104" s="37">
        <v>601.0</v>
      </c>
      <c r="D104" s="38">
        <v>0.0</v>
      </c>
      <c r="E104" s="39">
        <v>0.0</v>
      </c>
      <c r="F104" s="37">
        <v>0.0</v>
      </c>
      <c r="G104" s="39">
        <v>0.0</v>
      </c>
      <c r="H104" s="37">
        <v>0.0</v>
      </c>
      <c r="I104" s="39">
        <v>0.0</v>
      </c>
      <c r="J104" s="38">
        <v>0.0</v>
      </c>
      <c r="K104" s="39">
        <v>0.0</v>
      </c>
      <c r="L104" s="37">
        <v>0.0</v>
      </c>
      <c r="M104" s="39">
        <v>0.0</v>
      </c>
      <c r="N104" s="37">
        <v>601.0</v>
      </c>
      <c r="O104" s="39">
        <v>100.0</v>
      </c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46"/>
    </row>
    <row r="105" ht="15.75" customHeight="1">
      <c r="A105" s="36" t="s">
        <v>712</v>
      </c>
      <c r="B105" s="36" t="s">
        <v>822</v>
      </c>
      <c r="C105" s="37">
        <v>289.0</v>
      </c>
      <c r="D105" s="38">
        <v>0.0</v>
      </c>
      <c r="E105" s="39">
        <v>0.0</v>
      </c>
      <c r="F105" s="37">
        <v>0.0</v>
      </c>
      <c r="G105" s="39">
        <v>0.0</v>
      </c>
      <c r="H105" s="37">
        <v>0.0</v>
      </c>
      <c r="I105" s="39">
        <v>0.0</v>
      </c>
      <c r="J105" s="38">
        <v>0.0</v>
      </c>
      <c r="K105" s="39">
        <v>0.0</v>
      </c>
      <c r="L105" s="37">
        <v>0.0</v>
      </c>
      <c r="M105" s="39">
        <v>0.0</v>
      </c>
      <c r="N105" s="37">
        <v>289.0</v>
      </c>
      <c r="O105" s="39">
        <v>100.0</v>
      </c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46"/>
    </row>
    <row r="106" ht="15.75" customHeight="1">
      <c r="A106" s="36" t="s">
        <v>726</v>
      </c>
      <c r="B106" s="36" t="s">
        <v>816</v>
      </c>
      <c r="C106" s="37">
        <v>282.0</v>
      </c>
      <c r="D106" s="38">
        <v>0.0</v>
      </c>
      <c r="E106" s="39">
        <v>0.0</v>
      </c>
      <c r="F106" s="37">
        <v>0.0</v>
      </c>
      <c r="G106" s="39">
        <v>0.0</v>
      </c>
      <c r="H106" s="37">
        <v>0.0</v>
      </c>
      <c r="I106" s="39">
        <v>0.0</v>
      </c>
      <c r="J106" s="38">
        <v>0.0</v>
      </c>
      <c r="K106" s="39">
        <v>0.0</v>
      </c>
      <c r="L106" s="37">
        <v>0.0</v>
      </c>
      <c r="M106" s="39">
        <v>0.0</v>
      </c>
      <c r="N106" s="37">
        <v>282.0</v>
      </c>
      <c r="O106" s="39">
        <v>100.0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46"/>
    </row>
    <row r="107" ht="15.75" customHeight="1">
      <c r="A107" s="36" t="s">
        <v>820</v>
      </c>
      <c r="B107" s="36" t="s">
        <v>820</v>
      </c>
      <c r="C107" s="37">
        <v>184.0</v>
      </c>
      <c r="D107" s="38">
        <v>0.0</v>
      </c>
      <c r="E107" s="39">
        <v>0.0</v>
      </c>
      <c r="F107" s="37">
        <v>0.0</v>
      </c>
      <c r="G107" s="39">
        <v>0.0</v>
      </c>
      <c r="H107" s="37">
        <v>0.0</v>
      </c>
      <c r="I107" s="39">
        <v>0.0</v>
      </c>
      <c r="J107" s="38">
        <v>0.0</v>
      </c>
      <c r="K107" s="39">
        <v>0.0</v>
      </c>
      <c r="L107" s="37">
        <v>0.0</v>
      </c>
      <c r="M107" s="39">
        <v>0.0</v>
      </c>
      <c r="N107" s="37">
        <v>184.0</v>
      </c>
      <c r="O107" s="39">
        <v>100.0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46"/>
    </row>
    <row r="108" ht="15.75" customHeight="1">
      <c r="A108" s="36" t="s">
        <v>827</v>
      </c>
      <c r="B108" s="36" t="s">
        <v>827</v>
      </c>
      <c r="C108" s="37">
        <v>172.0</v>
      </c>
      <c r="D108" s="38">
        <v>0.0</v>
      </c>
      <c r="E108" s="39">
        <v>0.0</v>
      </c>
      <c r="F108" s="37">
        <v>0.0</v>
      </c>
      <c r="G108" s="39">
        <v>0.0</v>
      </c>
      <c r="H108" s="37">
        <v>0.0</v>
      </c>
      <c r="I108" s="39">
        <v>0.0</v>
      </c>
      <c r="J108" s="38">
        <v>0.0</v>
      </c>
      <c r="K108" s="39">
        <v>0.0</v>
      </c>
      <c r="L108" s="37">
        <v>0.0</v>
      </c>
      <c r="M108" s="39">
        <v>0.0</v>
      </c>
      <c r="N108" s="37">
        <v>172.0</v>
      </c>
      <c r="O108" s="39">
        <v>100.0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46"/>
    </row>
    <row r="109" ht="15.75" customHeight="1">
      <c r="A109" s="36" t="s">
        <v>826</v>
      </c>
      <c r="B109" s="36" t="s">
        <v>826</v>
      </c>
      <c r="C109" s="37">
        <v>111.0</v>
      </c>
      <c r="D109" s="38">
        <v>0.0</v>
      </c>
      <c r="E109" s="39">
        <v>0.0</v>
      </c>
      <c r="F109" s="37">
        <v>0.0</v>
      </c>
      <c r="G109" s="39">
        <v>0.0</v>
      </c>
      <c r="H109" s="37">
        <v>0.0</v>
      </c>
      <c r="I109" s="39">
        <v>0.0</v>
      </c>
      <c r="J109" s="38">
        <v>0.0</v>
      </c>
      <c r="K109" s="39">
        <v>0.0</v>
      </c>
      <c r="L109" s="37">
        <v>0.0</v>
      </c>
      <c r="M109" s="39">
        <v>0.0</v>
      </c>
      <c r="N109" s="37">
        <v>111.0</v>
      </c>
      <c r="O109" s="39">
        <v>100.0</v>
      </c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46"/>
    </row>
    <row r="110" ht="15.75" customHeight="1">
      <c r="A110" s="36" t="s">
        <v>726</v>
      </c>
      <c r="B110" s="36" t="s">
        <v>811</v>
      </c>
      <c r="C110" s="37">
        <v>108.0</v>
      </c>
      <c r="D110" s="38">
        <v>0.0</v>
      </c>
      <c r="E110" s="39">
        <v>0.0</v>
      </c>
      <c r="F110" s="37">
        <v>0.0</v>
      </c>
      <c r="G110" s="39">
        <v>0.0</v>
      </c>
      <c r="H110" s="37">
        <v>0.0</v>
      </c>
      <c r="I110" s="39">
        <v>0.0</v>
      </c>
      <c r="J110" s="38">
        <v>0.0</v>
      </c>
      <c r="K110" s="39">
        <v>0.0</v>
      </c>
      <c r="L110" s="37">
        <v>0.0</v>
      </c>
      <c r="M110" s="39">
        <v>0.0</v>
      </c>
      <c r="N110" s="37">
        <v>108.0</v>
      </c>
      <c r="O110" s="39">
        <v>100.0</v>
      </c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46"/>
    </row>
    <row r="111" ht="15.75" customHeight="1">
      <c r="A111" s="36" t="s">
        <v>722</v>
      </c>
      <c r="B111" s="36" t="s">
        <v>791</v>
      </c>
      <c r="C111" s="37">
        <v>101.0</v>
      </c>
      <c r="D111" s="38">
        <v>0.0</v>
      </c>
      <c r="E111" s="39">
        <v>0.0</v>
      </c>
      <c r="F111" s="37">
        <v>0.0</v>
      </c>
      <c r="G111" s="39">
        <v>0.0</v>
      </c>
      <c r="H111" s="37">
        <v>0.0</v>
      </c>
      <c r="I111" s="39">
        <v>0.0</v>
      </c>
      <c r="J111" s="38">
        <v>0.0</v>
      </c>
      <c r="K111" s="39">
        <v>0.0</v>
      </c>
      <c r="L111" s="37">
        <v>0.0</v>
      </c>
      <c r="M111" s="39">
        <v>0.0</v>
      </c>
      <c r="N111" s="37">
        <v>101.0</v>
      </c>
      <c r="O111" s="39">
        <v>100.0</v>
      </c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46"/>
    </row>
    <row r="112" ht="15.75" customHeight="1">
      <c r="A112" s="36" t="s">
        <v>800</v>
      </c>
      <c r="B112" s="36" t="s">
        <v>813</v>
      </c>
      <c r="C112" s="37">
        <v>96.0</v>
      </c>
      <c r="D112" s="38">
        <v>0.0</v>
      </c>
      <c r="E112" s="39">
        <v>0.0</v>
      </c>
      <c r="F112" s="37">
        <v>0.0</v>
      </c>
      <c r="G112" s="39">
        <v>0.0</v>
      </c>
      <c r="H112" s="37">
        <v>0.0</v>
      </c>
      <c r="I112" s="39">
        <v>0.0</v>
      </c>
      <c r="J112" s="38">
        <v>0.0</v>
      </c>
      <c r="K112" s="39">
        <v>0.0</v>
      </c>
      <c r="L112" s="37">
        <v>0.0</v>
      </c>
      <c r="M112" s="39">
        <v>0.0</v>
      </c>
      <c r="N112" s="37">
        <v>96.0</v>
      </c>
      <c r="O112" s="39">
        <v>100.0</v>
      </c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46"/>
    </row>
    <row r="113" ht="15.75" customHeight="1">
      <c r="A113" s="36" t="s">
        <v>814</v>
      </c>
      <c r="B113" s="36" t="s">
        <v>814</v>
      </c>
      <c r="C113" s="37">
        <v>93.0</v>
      </c>
      <c r="D113" s="38">
        <v>0.0</v>
      </c>
      <c r="E113" s="39">
        <v>0.0</v>
      </c>
      <c r="F113" s="37">
        <v>0.0</v>
      </c>
      <c r="G113" s="39">
        <v>0.0</v>
      </c>
      <c r="H113" s="37">
        <v>0.0</v>
      </c>
      <c r="I113" s="39">
        <v>0.0</v>
      </c>
      <c r="J113" s="38">
        <v>0.0</v>
      </c>
      <c r="K113" s="39">
        <v>0.0</v>
      </c>
      <c r="L113" s="37">
        <v>0.0</v>
      </c>
      <c r="M113" s="39">
        <v>0.0</v>
      </c>
      <c r="N113" s="37">
        <v>93.0</v>
      </c>
      <c r="O113" s="39">
        <v>100.0</v>
      </c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46"/>
    </row>
    <row r="114" ht="15.75" customHeight="1">
      <c r="A114" s="36" t="s">
        <v>831</v>
      </c>
      <c r="B114" s="36" t="s">
        <v>831</v>
      </c>
      <c r="C114" s="37">
        <v>89.0</v>
      </c>
      <c r="D114" s="38">
        <v>0.0</v>
      </c>
      <c r="E114" s="39">
        <v>0.0</v>
      </c>
      <c r="F114" s="37">
        <v>0.0</v>
      </c>
      <c r="G114" s="39">
        <v>0.0</v>
      </c>
      <c r="H114" s="37">
        <v>0.0</v>
      </c>
      <c r="I114" s="39">
        <v>0.0</v>
      </c>
      <c r="J114" s="38">
        <v>0.0</v>
      </c>
      <c r="K114" s="39">
        <v>0.0</v>
      </c>
      <c r="L114" s="37">
        <v>0.0</v>
      </c>
      <c r="M114" s="39">
        <v>0.0</v>
      </c>
      <c r="N114" s="37">
        <v>89.0</v>
      </c>
      <c r="O114" s="39">
        <v>100.0</v>
      </c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46"/>
    </row>
    <row r="115" ht="15.75" customHeight="1">
      <c r="A115" s="36" t="s">
        <v>800</v>
      </c>
      <c r="B115" s="36" t="s">
        <v>818</v>
      </c>
      <c r="C115" s="37">
        <v>77.0</v>
      </c>
      <c r="D115" s="38">
        <v>0.0</v>
      </c>
      <c r="E115" s="39">
        <v>0.0</v>
      </c>
      <c r="F115" s="37">
        <v>0.0</v>
      </c>
      <c r="G115" s="39">
        <v>0.0</v>
      </c>
      <c r="H115" s="37">
        <v>0.0</v>
      </c>
      <c r="I115" s="39">
        <v>0.0</v>
      </c>
      <c r="J115" s="38">
        <v>0.0</v>
      </c>
      <c r="K115" s="39">
        <v>0.0</v>
      </c>
      <c r="L115" s="37">
        <v>0.0</v>
      </c>
      <c r="M115" s="39">
        <v>0.0</v>
      </c>
      <c r="N115" s="37">
        <v>77.0</v>
      </c>
      <c r="O115" s="39">
        <v>100.0</v>
      </c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46"/>
    </row>
    <row r="116" ht="15.75" customHeight="1">
      <c r="A116" s="36" t="s">
        <v>819</v>
      </c>
      <c r="B116" s="36" t="s">
        <v>819</v>
      </c>
      <c r="C116" s="37">
        <v>60.0</v>
      </c>
      <c r="D116" s="38">
        <v>0.0</v>
      </c>
      <c r="E116" s="39">
        <v>0.0</v>
      </c>
      <c r="F116" s="37">
        <v>0.0</v>
      </c>
      <c r="G116" s="39">
        <v>0.0</v>
      </c>
      <c r="H116" s="37">
        <v>0.0</v>
      </c>
      <c r="I116" s="39">
        <v>0.0</v>
      </c>
      <c r="J116" s="38">
        <v>0.0</v>
      </c>
      <c r="K116" s="39">
        <v>0.0</v>
      </c>
      <c r="L116" s="37">
        <v>0.0</v>
      </c>
      <c r="M116" s="39">
        <v>0.0</v>
      </c>
      <c r="N116" s="37">
        <v>60.0</v>
      </c>
      <c r="O116" s="39">
        <v>100.0</v>
      </c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46"/>
    </row>
    <row r="117" ht="15.75" customHeight="1">
      <c r="A117" s="36" t="s">
        <v>800</v>
      </c>
      <c r="B117" s="36" t="s">
        <v>815</v>
      </c>
      <c r="C117" s="37">
        <v>54.0</v>
      </c>
      <c r="D117" s="38">
        <v>0.0</v>
      </c>
      <c r="E117" s="39">
        <v>0.0</v>
      </c>
      <c r="F117" s="37">
        <v>0.0</v>
      </c>
      <c r="G117" s="39">
        <v>0.0</v>
      </c>
      <c r="H117" s="37">
        <v>0.0</v>
      </c>
      <c r="I117" s="39">
        <v>0.0</v>
      </c>
      <c r="J117" s="38">
        <v>0.0</v>
      </c>
      <c r="K117" s="39">
        <v>0.0</v>
      </c>
      <c r="L117" s="37">
        <v>0.0</v>
      </c>
      <c r="M117" s="39">
        <v>0.0</v>
      </c>
      <c r="N117" s="37">
        <v>54.0</v>
      </c>
      <c r="O117" s="39">
        <v>100.0</v>
      </c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46"/>
    </row>
    <row r="118" ht="15.75" customHeight="1">
      <c r="A118" s="36" t="s">
        <v>712</v>
      </c>
      <c r="B118" s="36" t="s">
        <v>817</v>
      </c>
      <c r="C118" s="37">
        <v>54.0</v>
      </c>
      <c r="D118" s="38">
        <v>0.0</v>
      </c>
      <c r="E118" s="39">
        <v>0.0</v>
      </c>
      <c r="F118" s="37">
        <v>0.0</v>
      </c>
      <c r="G118" s="39">
        <v>0.0</v>
      </c>
      <c r="H118" s="37">
        <v>0.0</v>
      </c>
      <c r="I118" s="39">
        <v>0.0</v>
      </c>
      <c r="J118" s="38">
        <v>0.0</v>
      </c>
      <c r="K118" s="39">
        <v>0.0</v>
      </c>
      <c r="L118" s="37">
        <v>0.0</v>
      </c>
      <c r="M118" s="39">
        <v>0.0</v>
      </c>
      <c r="N118" s="37">
        <v>54.0</v>
      </c>
      <c r="O118" s="39">
        <v>100.0</v>
      </c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46"/>
    </row>
    <row r="119" ht="15.75" customHeight="1">
      <c r="A119" s="36" t="s">
        <v>726</v>
      </c>
      <c r="B119" s="36" t="s">
        <v>840</v>
      </c>
      <c r="C119" s="37">
        <v>53.0</v>
      </c>
      <c r="D119" s="38">
        <v>0.0</v>
      </c>
      <c r="E119" s="39">
        <v>0.0</v>
      </c>
      <c r="F119" s="37">
        <v>0.0</v>
      </c>
      <c r="G119" s="39">
        <v>0.0</v>
      </c>
      <c r="H119" s="37">
        <v>0.0</v>
      </c>
      <c r="I119" s="39">
        <v>0.0</v>
      </c>
      <c r="J119" s="38">
        <v>0.0</v>
      </c>
      <c r="K119" s="39">
        <v>0.0</v>
      </c>
      <c r="L119" s="37">
        <v>0.0</v>
      </c>
      <c r="M119" s="39">
        <v>0.0</v>
      </c>
      <c r="N119" s="37">
        <v>53.0</v>
      </c>
      <c r="O119" s="39">
        <v>100.0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46"/>
    </row>
    <row r="120" ht="15.75" customHeight="1">
      <c r="A120" s="36" t="s">
        <v>712</v>
      </c>
      <c r="B120" s="36" t="s">
        <v>810</v>
      </c>
      <c r="C120" s="37">
        <v>38.0</v>
      </c>
      <c r="D120" s="38">
        <v>0.0</v>
      </c>
      <c r="E120" s="39">
        <v>0.0</v>
      </c>
      <c r="F120" s="37">
        <v>0.0</v>
      </c>
      <c r="G120" s="39">
        <v>0.0</v>
      </c>
      <c r="H120" s="37">
        <v>0.0</v>
      </c>
      <c r="I120" s="39">
        <v>0.0</v>
      </c>
      <c r="J120" s="38">
        <v>0.0</v>
      </c>
      <c r="K120" s="39">
        <v>0.0</v>
      </c>
      <c r="L120" s="37">
        <v>0.0</v>
      </c>
      <c r="M120" s="39">
        <v>0.0</v>
      </c>
      <c r="N120" s="37">
        <v>38.0</v>
      </c>
      <c r="O120" s="39">
        <v>100.0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46"/>
    </row>
    <row r="121" ht="15.75" customHeight="1">
      <c r="A121" s="36" t="s">
        <v>712</v>
      </c>
      <c r="B121" s="36" t="s">
        <v>828</v>
      </c>
      <c r="C121" s="37">
        <v>34.0</v>
      </c>
      <c r="D121" s="38">
        <v>0.0</v>
      </c>
      <c r="E121" s="39">
        <v>0.0</v>
      </c>
      <c r="F121" s="37">
        <v>0.0</v>
      </c>
      <c r="G121" s="39">
        <v>0.0</v>
      </c>
      <c r="H121" s="37">
        <v>0.0</v>
      </c>
      <c r="I121" s="39">
        <v>0.0</v>
      </c>
      <c r="J121" s="38">
        <v>0.0</v>
      </c>
      <c r="K121" s="39">
        <v>0.0</v>
      </c>
      <c r="L121" s="37">
        <v>0.0</v>
      </c>
      <c r="M121" s="39">
        <v>0.0</v>
      </c>
      <c r="N121" s="37">
        <v>34.0</v>
      </c>
      <c r="O121" s="39">
        <v>100.0</v>
      </c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46"/>
    </row>
    <row r="122" ht="15.75" customHeight="1">
      <c r="A122" s="36" t="s">
        <v>722</v>
      </c>
      <c r="B122" s="36" t="s">
        <v>834</v>
      </c>
      <c r="C122" s="37">
        <v>33.0</v>
      </c>
      <c r="D122" s="38">
        <v>0.0</v>
      </c>
      <c r="E122" s="39">
        <v>0.0</v>
      </c>
      <c r="F122" s="37">
        <v>0.0</v>
      </c>
      <c r="G122" s="39">
        <v>0.0</v>
      </c>
      <c r="H122" s="37">
        <v>0.0</v>
      </c>
      <c r="I122" s="39">
        <v>0.0</v>
      </c>
      <c r="J122" s="38">
        <v>0.0</v>
      </c>
      <c r="K122" s="39">
        <v>0.0</v>
      </c>
      <c r="L122" s="37">
        <v>0.0</v>
      </c>
      <c r="M122" s="39">
        <v>0.0</v>
      </c>
      <c r="N122" s="37">
        <v>33.0</v>
      </c>
      <c r="O122" s="39">
        <v>100.0</v>
      </c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46"/>
    </row>
    <row r="123" ht="15.75" customHeight="1">
      <c r="A123" s="36" t="s">
        <v>735</v>
      </c>
      <c r="B123" s="36" t="s">
        <v>839</v>
      </c>
      <c r="C123" s="37">
        <v>27.0</v>
      </c>
      <c r="D123" s="38">
        <v>0.0</v>
      </c>
      <c r="E123" s="39">
        <v>0.0</v>
      </c>
      <c r="F123" s="37">
        <v>0.0</v>
      </c>
      <c r="G123" s="39">
        <v>0.0</v>
      </c>
      <c r="H123" s="37">
        <v>0.0</v>
      </c>
      <c r="I123" s="39">
        <v>0.0</v>
      </c>
      <c r="J123" s="38">
        <v>26.0</v>
      </c>
      <c r="K123" s="39">
        <v>96.0</v>
      </c>
      <c r="L123" s="37">
        <v>26.0</v>
      </c>
      <c r="M123" s="39">
        <v>96.0</v>
      </c>
      <c r="N123" s="37">
        <v>1.0</v>
      </c>
      <c r="O123" s="39">
        <v>4.0</v>
      </c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46"/>
    </row>
    <row r="124" ht="15.75" customHeight="1">
      <c r="A124" s="36" t="s">
        <v>722</v>
      </c>
      <c r="B124" s="36" t="s">
        <v>841</v>
      </c>
      <c r="C124" s="37">
        <v>27.0</v>
      </c>
      <c r="D124" s="38">
        <v>0.0</v>
      </c>
      <c r="E124" s="39">
        <v>0.0</v>
      </c>
      <c r="F124" s="37">
        <v>0.0</v>
      </c>
      <c r="G124" s="39">
        <v>0.0</v>
      </c>
      <c r="H124" s="37">
        <v>0.0</v>
      </c>
      <c r="I124" s="39">
        <v>0.0</v>
      </c>
      <c r="J124" s="38">
        <v>0.0</v>
      </c>
      <c r="K124" s="39">
        <v>0.0</v>
      </c>
      <c r="L124" s="37">
        <v>0.0</v>
      </c>
      <c r="M124" s="39">
        <v>0.0</v>
      </c>
      <c r="N124" s="37">
        <v>27.0</v>
      </c>
      <c r="O124" s="39">
        <v>100.0</v>
      </c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46"/>
    </row>
    <row r="125" ht="15.75" customHeight="1">
      <c r="A125" s="36" t="s">
        <v>712</v>
      </c>
      <c r="B125" s="36" t="s">
        <v>808</v>
      </c>
      <c r="C125" s="37">
        <v>21.0</v>
      </c>
      <c r="D125" s="38">
        <v>0.0</v>
      </c>
      <c r="E125" s="39">
        <v>0.0</v>
      </c>
      <c r="F125" s="37">
        <v>0.0</v>
      </c>
      <c r="G125" s="39">
        <v>0.0</v>
      </c>
      <c r="H125" s="37">
        <v>0.0</v>
      </c>
      <c r="I125" s="39">
        <v>0.0</v>
      </c>
      <c r="J125" s="38">
        <v>0.0</v>
      </c>
      <c r="K125" s="39">
        <v>0.0</v>
      </c>
      <c r="L125" s="37">
        <v>0.0</v>
      </c>
      <c r="M125" s="39">
        <v>0.0</v>
      </c>
      <c r="N125" s="37">
        <v>21.0</v>
      </c>
      <c r="O125" s="39">
        <v>100.0</v>
      </c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46"/>
    </row>
    <row r="126" ht="15.75" customHeight="1">
      <c r="A126" s="36" t="s">
        <v>780</v>
      </c>
      <c r="B126" s="36" t="s">
        <v>824</v>
      </c>
      <c r="C126" s="37">
        <v>20.0</v>
      </c>
      <c r="D126" s="38">
        <v>0.0</v>
      </c>
      <c r="E126" s="39">
        <v>0.0</v>
      </c>
      <c r="F126" s="37">
        <v>0.0</v>
      </c>
      <c r="G126" s="39">
        <v>0.0</v>
      </c>
      <c r="H126" s="37">
        <v>0.0</v>
      </c>
      <c r="I126" s="39">
        <v>0.0</v>
      </c>
      <c r="J126" s="38">
        <v>0.0</v>
      </c>
      <c r="K126" s="39">
        <v>0.0</v>
      </c>
      <c r="L126" s="37">
        <v>0.0</v>
      </c>
      <c r="M126" s="39">
        <v>0.0</v>
      </c>
      <c r="N126" s="37">
        <v>20.0</v>
      </c>
      <c r="O126" s="39">
        <v>100.0</v>
      </c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46"/>
    </row>
    <row r="127" ht="15.75" customHeight="1">
      <c r="A127" s="36" t="s">
        <v>726</v>
      </c>
      <c r="B127" s="36" t="s">
        <v>823</v>
      </c>
      <c r="C127" s="37">
        <v>18.0</v>
      </c>
      <c r="D127" s="38">
        <v>0.0</v>
      </c>
      <c r="E127" s="39">
        <v>0.0</v>
      </c>
      <c r="F127" s="37">
        <v>0.0</v>
      </c>
      <c r="G127" s="39">
        <v>0.0</v>
      </c>
      <c r="H127" s="37">
        <v>0.0</v>
      </c>
      <c r="I127" s="39">
        <v>0.0</v>
      </c>
      <c r="J127" s="38">
        <v>0.0</v>
      </c>
      <c r="K127" s="39">
        <v>0.0</v>
      </c>
      <c r="L127" s="37">
        <v>0.0</v>
      </c>
      <c r="M127" s="39">
        <v>0.0</v>
      </c>
      <c r="N127" s="37">
        <v>18.0</v>
      </c>
      <c r="O127" s="39">
        <v>100.0</v>
      </c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46"/>
    </row>
    <row r="128" ht="15.75" customHeight="1">
      <c r="A128" s="36" t="s">
        <v>802</v>
      </c>
      <c r="B128" s="36" t="s">
        <v>836</v>
      </c>
      <c r="C128" s="37">
        <v>14.0</v>
      </c>
      <c r="D128" s="38">
        <v>0.0</v>
      </c>
      <c r="E128" s="39">
        <v>0.0</v>
      </c>
      <c r="F128" s="37">
        <v>0.0</v>
      </c>
      <c r="G128" s="39">
        <v>0.0</v>
      </c>
      <c r="H128" s="37">
        <v>0.0</v>
      </c>
      <c r="I128" s="39">
        <v>0.0</v>
      </c>
      <c r="J128" s="38">
        <v>12.0</v>
      </c>
      <c r="K128" s="39">
        <v>86.0</v>
      </c>
      <c r="L128" s="37">
        <v>12.0</v>
      </c>
      <c r="M128" s="39">
        <v>86.0</v>
      </c>
      <c r="N128" s="37">
        <v>2.0</v>
      </c>
      <c r="O128" s="39">
        <v>14.0</v>
      </c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46"/>
    </row>
    <row r="129" ht="15.75" customHeight="1">
      <c r="A129" s="36" t="s">
        <v>762</v>
      </c>
      <c r="B129" s="36" t="s">
        <v>838</v>
      </c>
      <c r="C129" s="37">
        <v>14.0</v>
      </c>
      <c r="D129" s="38">
        <v>0.0</v>
      </c>
      <c r="E129" s="39">
        <v>0.0</v>
      </c>
      <c r="F129" s="37">
        <v>0.0</v>
      </c>
      <c r="G129" s="39">
        <v>0.0</v>
      </c>
      <c r="H129" s="37">
        <v>0.0</v>
      </c>
      <c r="I129" s="39">
        <v>0.0</v>
      </c>
      <c r="J129" s="38">
        <v>0.0</v>
      </c>
      <c r="K129" s="39">
        <v>0.0</v>
      </c>
      <c r="L129" s="37">
        <v>0.0</v>
      </c>
      <c r="M129" s="39">
        <v>0.0</v>
      </c>
      <c r="N129" s="37">
        <v>14.0</v>
      </c>
      <c r="O129" s="39">
        <v>100.0</v>
      </c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46"/>
    </row>
    <row r="130" ht="15.75" customHeight="1">
      <c r="A130" s="36" t="s">
        <v>800</v>
      </c>
      <c r="B130" s="36" t="s">
        <v>829</v>
      </c>
      <c r="C130" s="37">
        <v>13.0</v>
      </c>
      <c r="D130" s="38">
        <v>0.0</v>
      </c>
      <c r="E130" s="39">
        <v>0.0</v>
      </c>
      <c r="F130" s="37">
        <v>0.0</v>
      </c>
      <c r="G130" s="39">
        <v>0.0</v>
      </c>
      <c r="H130" s="37">
        <v>0.0</v>
      </c>
      <c r="I130" s="39">
        <v>0.0</v>
      </c>
      <c r="J130" s="38">
        <v>0.0</v>
      </c>
      <c r="K130" s="39">
        <v>0.0</v>
      </c>
      <c r="L130" s="37">
        <v>0.0</v>
      </c>
      <c r="M130" s="39">
        <v>0.0</v>
      </c>
      <c r="N130" s="37">
        <v>13.0</v>
      </c>
      <c r="O130" s="39">
        <v>100.0</v>
      </c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46"/>
    </row>
    <row r="131" ht="15.75" customHeight="1">
      <c r="A131" s="36" t="s">
        <v>800</v>
      </c>
      <c r="B131" s="36" t="s">
        <v>830</v>
      </c>
      <c r="C131" s="37">
        <v>13.0</v>
      </c>
      <c r="D131" s="38">
        <v>0.0</v>
      </c>
      <c r="E131" s="39">
        <v>0.0</v>
      </c>
      <c r="F131" s="37">
        <v>0.0</v>
      </c>
      <c r="G131" s="39">
        <v>0.0</v>
      </c>
      <c r="H131" s="37">
        <v>0.0</v>
      </c>
      <c r="I131" s="39">
        <v>0.0</v>
      </c>
      <c r="J131" s="38">
        <v>0.0</v>
      </c>
      <c r="K131" s="39">
        <v>0.0</v>
      </c>
      <c r="L131" s="37">
        <v>0.0</v>
      </c>
      <c r="M131" s="39">
        <v>0.0</v>
      </c>
      <c r="N131" s="37">
        <v>13.0</v>
      </c>
      <c r="O131" s="39">
        <v>100.0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46"/>
    </row>
    <row r="132" ht="15.75" customHeight="1">
      <c r="A132" s="36" t="s">
        <v>833</v>
      </c>
      <c r="B132" s="36" t="s">
        <v>833</v>
      </c>
      <c r="C132" s="37">
        <v>11.0</v>
      </c>
      <c r="D132" s="38">
        <v>0.0</v>
      </c>
      <c r="E132" s="39">
        <v>0.0</v>
      </c>
      <c r="F132" s="37">
        <v>0.0</v>
      </c>
      <c r="G132" s="39">
        <v>0.0</v>
      </c>
      <c r="H132" s="37">
        <v>0.0</v>
      </c>
      <c r="I132" s="39">
        <v>0.0</v>
      </c>
      <c r="J132" s="38">
        <v>0.0</v>
      </c>
      <c r="K132" s="39">
        <v>0.0</v>
      </c>
      <c r="L132" s="37">
        <v>0.0</v>
      </c>
      <c r="M132" s="39">
        <v>0.0</v>
      </c>
      <c r="N132" s="37">
        <v>11.0</v>
      </c>
      <c r="O132" s="39">
        <v>100.0</v>
      </c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46"/>
    </row>
    <row r="133" ht="15.75" customHeight="1">
      <c r="A133" s="36" t="s">
        <v>712</v>
      </c>
      <c r="B133" s="36" t="s">
        <v>809</v>
      </c>
      <c r="C133" s="37">
        <v>8.0</v>
      </c>
      <c r="D133" s="38">
        <v>0.0</v>
      </c>
      <c r="E133" s="39">
        <v>0.0</v>
      </c>
      <c r="F133" s="37">
        <v>0.0</v>
      </c>
      <c r="G133" s="39">
        <v>0.0</v>
      </c>
      <c r="H133" s="37">
        <v>0.0</v>
      </c>
      <c r="I133" s="39">
        <v>0.0</v>
      </c>
      <c r="J133" s="38">
        <v>0.0</v>
      </c>
      <c r="K133" s="39">
        <v>0.0</v>
      </c>
      <c r="L133" s="37">
        <v>0.0</v>
      </c>
      <c r="M133" s="39">
        <v>0.0</v>
      </c>
      <c r="N133" s="37">
        <v>8.0</v>
      </c>
      <c r="O133" s="39">
        <v>100.0</v>
      </c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46"/>
    </row>
    <row r="134" ht="15.75" customHeight="1">
      <c r="A134" s="36" t="s">
        <v>722</v>
      </c>
      <c r="B134" s="36" t="s">
        <v>835</v>
      </c>
      <c r="C134" s="37">
        <v>6.0</v>
      </c>
      <c r="D134" s="38">
        <v>0.0</v>
      </c>
      <c r="E134" s="39">
        <v>0.0</v>
      </c>
      <c r="F134" s="37">
        <v>0.0</v>
      </c>
      <c r="G134" s="39">
        <v>0.0</v>
      </c>
      <c r="H134" s="37">
        <v>0.0</v>
      </c>
      <c r="I134" s="39">
        <v>0.0</v>
      </c>
      <c r="J134" s="38">
        <v>0.0</v>
      </c>
      <c r="K134" s="39">
        <v>0.0</v>
      </c>
      <c r="L134" s="37">
        <v>0.0</v>
      </c>
      <c r="M134" s="39">
        <v>0.0</v>
      </c>
      <c r="N134" s="37">
        <v>6.0</v>
      </c>
      <c r="O134" s="39">
        <v>100.0</v>
      </c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46"/>
    </row>
    <row r="135" ht="15.75" customHeight="1">
      <c r="A135" s="36" t="s">
        <v>763</v>
      </c>
      <c r="B135" s="36" t="s">
        <v>763</v>
      </c>
      <c r="C135" s="37">
        <v>1.0</v>
      </c>
      <c r="D135" s="38">
        <v>0.0</v>
      </c>
      <c r="E135" s="39">
        <v>0.0</v>
      </c>
      <c r="F135" s="37">
        <v>0.0</v>
      </c>
      <c r="G135" s="39">
        <v>0.0</v>
      </c>
      <c r="H135" s="37">
        <v>0.0</v>
      </c>
      <c r="I135" s="39">
        <v>0.0</v>
      </c>
      <c r="J135" s="38">
        <v>0.0</v>
      </c>
      <c r="K135" s="39">
        <v>0.0</v>
      </c>
      <c r="L135" s="37">
        <v>0.0</v>
      </c>
      <c r="M135" s="39">
        <v>0.0</v>
      </c>
      <c r="N135" s="37">
        <v>1.0</v>
      </c>
      <c r="O135" s="39">
        <v>100.0</v>
      </c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46"/>
    </row>
    <row r="136" ht="15.75" customHeight="1">
      <c r="A136" s="36"/>
      <c r="B136" s="36"/>
      <c r="C136" s="40"/>
      <c r="D136" s="40"/>
      <c r="E136" s="41"/>
      <c r="F136" s="40"/>
      <c r="G136" s="41"/>
      <c r="H136" s="40"/>
      <c r="I136" s="41"/>
      <c r="J136" s="40"/>
      <c r="K136" s="41"/>
      <c r="L136" s="40"/>
      <c r="M136" s="41"/>
      <c r="N136" s="40"/>
      <c r="O136" s="41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46"/>
    </row>
    <row r="137" ht="15.75" customHeight="1">
      <c r="A137" s="36"/>
      <c r="B137" s="47" t="s">
        <v>842</v>
      </c>
      <c r="C137" s="42">
        <f t="shared" ref="C137:D137" si="1">SUM(C2:C135)</f>
        <v>552957</v>
      </c>
      <c r="D137" s="42">
        <f t="shared" si="1"/>
        <v>165877</v>
      </c>
      <c r="E137" s="40"/>
      <c r="F137" s="38">
        <f>SUM(F2:F135)</f>
        <v>129660</v>
      </c>
      <c r="G137" s="41"/>
      <c r="H137" s="38">
        <f>SUM(H2:H135)</f>
        <v>36217</v>
      </c>
      <c r="I137" s="41"/>
      <c r="J137" s="38">
        <f>SUM(J2:J135)</f>
        <v>147287</v>
      </c>
      <c r="K137" s="41"/>
      <c r="L137" s="38">
        <f>SUM(L2:L135)</f>
        <v>111070</v>
      </c>
      <c r="M137" s="41"/>
      <c r="N137" s="38">
        <f>SUM(N2:N135)</f>
        <v>276010</v>
      </c>
      <c r="O137" s="41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46"/>
    </row>
    <row r="138" ht="15.75" customHeight="1">
      <c r="A138" s="36"/>
      <c r="B138" s="36"/>
      <c r="C138" s="48"/>
      <c r="D138" s="48"/>
      <c r="E138" s="41"/>
      <c r="F138" s="40"/>
      <c r="G138" s="41"/>
      <c r="H138" s="40"/>
      <c r="I138" s="41"/>
      <c r="J138" s="40"/>
      <c r="K138" s="41"/>
      <c r="L138" s="40"/>
      <c r="M138" s="41"/>
      <c r="N138" s="40"/>
      <c r="O138" s="41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46"/>
    </row>
    <row r="139" ht="54.0" customHeight="1">
      <c r="A139" s="36"/>
      <c r="B139" s="36"/>
      <c r="C139" s="40"/>
      <c r="D139" s="40"/>
      <c r="E139" s="41"/>
      <c r="F139" s="40"/>
      <c r="G139" s="41"/>
      <c r="H139" s="40"/>
      <c r="I139" s="41"/>
      <c r="J139" s="40"/>
      <c r="K139" s="41"/>
      <c r="L139" s="40"/>
      <c r="M139" s="41"/>
      <c r="N139" s="40"/>
      <c r="O139" s="41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46"/>
    </row>
    <row r="140" ht="15.75" customHeight="1">
      <c r="A140" s="36"/>
      <c r="B140" s="36"/>
      <c r="C140" s="40"/>
      <c r="D140" s="40"/>
      <c r="E140" s="41"/>
      <c r="F140" s="40"/>
      <c r="G140" s="41"/>
      <c r="H140" s="40"/>
      <c r="I140" s="41"/>
      <c r="J140" s="40"/>
      <c r="K140" s="41"/>
      <c r="L140" s="40"/>
      <c r="M140" s="41"/>
      <c r="N140" s="40"/>
      <c r="O140" s="41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46"/>
    </row>
    <row r="141" ht="15.75" customHeight="1">
      <c r="A141" s="36"/>
      <c r="B141" s="36"/>
      <c r="C141" s="40"/>
      <c r="D141" s="40"/>
      <c r="E141" s="41"/>
      <c r="F141" s="40"/>
      <c r="G141" s="41"/>
      <c r="H141" s="40"/>
      <c r="I141" s="41"/>
      <c r="J141" s="40"/>
      <c r="K141" s="41"/>
      <c r="L141" s="40"/>
      <c r="M141" s="41"/>
      <c r="N141" s="40"/>
      <c r="O141" s="41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46"/>
    </row>
    <row r="142" ht="15.75" customHeight="1">
      <c r="A142" s="36"/>
      <c r="B142" s="36"/>
      <c r="C142" s="40"/>
      <c r="D142" s="40"/>
      <c r="E142" s="41"/>
      <c r="F142" s="40"/>
      <c r="G142" s="41"/>
      <c r="H142" s="40"/>
      <c r="I142" s="41"/>
      <c r="J142" s="40"/>
      <c r="K142" s="41"/>
      <c r="L142" s="40"/>
      <c r="M142" s="41"/>
      <c r="N142" s="40"/>
      <c r="O142" s="41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46"/>
    </row>
    <row r="143" ht="15.75" customHeight="1">
      <c r="A143" s="36"/>
      <c r="B143" s="36"/>
      <c r="C143" s="40"/>
      <c r="D143" s="40"/>
      <c r="E143" s="41"/>
      <c r="F143" s="40"/>
      <c r="G143" s="41"/>
      <c r="H143" s="40"/>
      <c r="I143" s="41"/>
      <c r="J143" s="40"/>
      <c r="K143" s="41"/>
      <c r="L143" s="40"/>
      <c r="M143" s="41"/>
      <c r="N143" s="40"/>
      <c r="O143" s="41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46"/>
    </row>
    <row r="144" ht="15.75" customHeight="1">
      <c r="A144" s="36"/>
      <c r="B144" s="36"/>
      <c r="C144" s="40"/>
      <c r="D144" s="40"/>
      <c r="E144" s="41"/>
      <c r="F144" s="40"/>
      <c r="G144" s="41"/>
      <c r="H144" s="40"/>
      <c r="I144" s="41"/>
      <c r="J144" s="40"/>
      <c r="K144" s="41"/>
      <c r="L144" s="40"/>
      <c r="M144" s="41"/>
      <c r="N144" s="40"/>
      <c r="O144" s="41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46"/>
    </row>
    <row r="145" ht="15.75" customHeight="1">
      <c r="A145" s="36"/>
      <c r="B145" s="36"/>
      <c r="C145" s="40"/>
      <c r="D145" s="40"/>
      <c r="E145" s="41"/>
      <c r="F145" s="40"/>
      <c r="G145" s="41"/>
      <c r="H145" s="40"/>
      <c r="I145" s="41"/>
      <c r="J145" s="40"/>
      <c r="K145" s="41"/>
      <c r="L145" s="40"/>
      <c r="M145" s="41"/>
      <c r="N145" s="40"/>
      <c r="O145" s="41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46"/>
    </row>
    <row r="146" ht="15.75" customHeight="1">
      <c r="A146" s="36"/>
      <c r="B146" s="36"/>
      <c r="C146" s="40"/>
      <c r="D146" s="40"/>
      <c r="E146" s="41"/>
      <c r="F146" s="40"/>
      <c r="G146" s="41"/>
      <c r="H146" s="40"/>
      <c r="I146" s="41"/>
      <c r="J146" s="40"/>
      <c r="K146" s="41"/>
      <c r="L146" s="40"/>
      <c r="M146" s="41"/>
      <c r="N146" s="40"/>
      <c r="O146" s="41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46"/>
    </row>
    <row r="147" ht="15.75" customHeight="1">
      <c r="A147" s="36"/>
      <c r="B147" s="36"/>
      <c r="C147" s="40"/>
      <c r="D147" s="40"/>
      <c r="E147" s="41"/>
      <c r="F147" s="40"/>
      <c r="G147" s="41"/>
      <c r="H147" s="40"/>
      <c r="I147" s="41"/>
      <c r="J147" s="40"/>
      <c r="K147" s="41"/>
      <c r="L147" s="40"/>
      <c r="M147" s="41"/>
      <c r="N147" s="40"/>
      <c r="O147" s="41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46"/>
    </row>
    <row r="148" ht="15.75" customHeight="1">
      <c r="A148" s="36"/>
      <c r="B148" s="36"/>
      <c r="C148" s="40"/>
      <c r="D148" s="40"/>
      <c r="E148" s="41"/>
      <c r="F148" s="40"/>
      <c r="G148" s="41"/>
      <c r="H148" s="40"/>
      <c r="I148" s="41"/>
      <c r="J148" s="40"/>
      <c r="K148" s="41"/>
      <c r="L148" s="40"/>
      <c r="M148" s="41"/>
      <c r="N148" s="40"/>
      <c r="O148" s="41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46"/>
    </row>
    <row r="149" ht="15.75" customHeight="1">
      <c r="A149" s="36"/>
      <c r="B149" s="36"/>
      <c r="C149" s="40"/>
      <c r="D149" s="40"/>
      <c r="E149" s="41"/>
      <c r="F149" s="40"/>
      <c r="G149" s="41"/>
      <c r="H149" s="40"/>
      <c r="I149" s="41"/>
      <c r="J149" s="40"/>
      <c r="K149" s="41"/>
      <c r="L149" s="40"/>
      <c r="M149" s="41"/>
      <c r="N149" s="40"/>
      <c r="O149" s="41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46"/>
    </row>
    <row r="150" ht="15.75" customHeight="1">
      <c r="A150" s="36"/>
      <c r="B150" s="36"/>
      <c r="C150" s="40"/>
      <c r="D150" s="40"/>
      <c r="E150" s="41"/>
      <c r="F150" s="40"/>
      <c r="G150" s="41"/>
      <c r="H150" s="40"/>
      <c r="I150" s="41"/>
      <c r="J150" s="40"/>
      <c r="K150" s="41"/>
      <c r="L150" s="40"/>
      <c r="M150" s="41"/>
      <c r="N150" s="40"/>
      <c r="O150" s="41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46"/>
    </row>
    <row r="151" ht="15.75" customHeight="1">
      <c r="A151" s="36"/>
      <c r="B151" s="36"/>
      <c r="C151" s="40"/>
      <c r="D151" s="40"/>
      <c r="E151" s="41"/>
      <c r="F151" s="40"/>
      <c r="G151" s="41"/>
      <c r="H151" s="40"/>
      <c r="I151" s="41"/>
      <c r="J151" s="40"/>
      <c r="K151" s="41"/>
      <c r="L151" s="40"/>
      <c r="M151" s="41"/>
      <c r="N151" s="40"/>
      <c r="O151" s="41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46"/>
    </row>
    <row r="152" ht="15.75" customHeight="1">
      <c r="A152" s="36"/>
      <c r="B152" s="36"/>
      <c r="C152" s="40"/>
      <c r="D152" s="40"/>
      <c r="E152" s="41"/>
      <c r="F152" s="40"/>
      <c r="G152" s="41"/>
      <c r="H152" s="40"/>
      <c r="I152" s="41"/>
      <c r="J152" s="40"/>
      <c r="K152" s="41"/>
      <c r="L152" s="40"/>
      <c r="M152" s="41"/>
      <c r="N152" s="40"/>
      <c r="O152" s="41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46"/>
    </row>
    <row r="153" ht="15.75" customHeight="1">
      <c r="A153" s="36"/>
      <c r="B153" s="36"/>
      <c r="C153" s="40"/>
      <c r="D153" s="40"/>
      <c r="E153" s="41"/>
      <c r="F153" s="40"/>
      <c r="G153" s="41"/>
      <c r="H153" s="40"/>
      <c r="I153" s="41"/>
      <c r="J153" s="40"/>
      <c r="K153" s="41"/>
      <c r="L153" s="40"/>
      <c r="M153" s="41"/>
      <c r="N153" s="40"/>
      <c r="O153" s="41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46"/>
    </row>
    <row r="154" ht="15.75" customHeight="1">
      <c r="A154" s="36"/>
      <c r="B154" s="36"/>
      <c r="C154" s="40"/>
      <c r="D154" s="40"/>
      <c r="E154" s="41"/>
      <c r="F154" s="40"/>
      <c r="G154" s="41"/>
      <c r="H154" s="40"/>
      <c r="I154" s="41"/>
      <c r="J154" s="40"/>
      <c r="K154" s="41"/>
      <c r="L154" s="40"/>
      <c r="M154" s="41"/>
      <c r="N154" s="40"/>
      <c r="O154" s="41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46"/>
    </row>
    <row r="155" ht="15.75" customHeight="1">
      <c r="A155" s="36"/>
      <c r="B155" s="36"/>
      <c r="C155" s="40"/>
      <c r="D155" s="40"/>
      <c r="E155" s="41"/>
      <c r="F155" s="40"/>
      <c r="G155" s="41"/>
      <c r="H155" s="40"/>
      <c r="I155" s="41"/>
      <c r="J155" s="40"/>
      <c r="K155" s="41"/>
      <c r="L155" s="40"/>
      <c r="M155" s="41"/>
      <c r="N155" s="40"/>
      <c r="O155" s="41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46"/>
    </row>
    <row r="156" ht="15.75" customHeight="1">
      <c r="A156" s="36"/>
      <c r="B156" s="36"/>
      <c r="C156" s="40"/>
      <c r="D156" s="40"/>
      <c r="E156" s="41"/>
      <c r="F156" s="40"/>
      <c r="G156" s="41"/>
      <c r="H156" s="40"/>
      <c r="I156" s="41"/>
      <c r="J156" s="40"/>
      <c r="K156" s="41"/>
      <c r="L156" s="40"/>
      <c r="M156" s="41"/>
      <c r="N156" s="40"/>
      <c r="O156" s="41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46"/>
    </row>
    <row r="157" ht="15.75" customHeight="1">
      <c r="A157" s="36"/>
      <c r="B157" s="36"/>
      <c r="C157" s="40"/>
      <c r="D157" s="40"/>
      <c r="E157" s="41"/>
      <c r="F157" s="40"/>
      <c r="G157" s="41"/>
      <c r="H157" s="40"/>
      <c r="I157" s="41"/>
      <c r="J157" s="40"/>
      <c r="K157" s="41"/>
      <c r="L157" s="40"/>
      <c r="M157" s="41"/>
      <c r="N157" s="40"/>
      <c r="O157" s="41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46"/>
    </row>
    <row r="158" ht="15.75" customHeight="1">
      <c r="A158" s="36"/>
      <c r="B158" s="36"/>
      <c r="C158" s="40"/>
      <c r="D158" s="40"/>
      <c r="E158" s="41"/>
      <c r="F158" s="40"/>
      <c r="G158" s="41"/>
      <c r="H158" s="40"/>
      <c r="I158" s="41"/>
      <c r="J158" s="40"/>
      <c r="K158" s="41"/>
      <c r="L158" s="40"/>
      <c r="M158" s="41"/>
      <c r="N158" s="40"/>
      <c r="O158" s="41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46"/>
    </row>
    <row r="159" ht="15.75" customHeight="1">
      <c r="A159" s="36"/>
      <c r="B159" s="36"/>
      <c r="C159" s="40"/>
      <c r="D159" s="40"/>
      <c r="E159" s="41"/>
      <c r="F159" s="40"/>
      <c r="G159" s="41"/>
      <c r="H159" s="40"/>
      <c r="I159" s="41"/>
      <c r="J159" s="40"/>
      <c r="K159" s="41"/>
      <c r="L159" s="40"/>
      <c r="M159" s="41"/>
      <c r="N159" s="40"/>
      <c r="O159" s="41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46"/>
    </row>
    <row r="160" ht="15.75" customHeight="1">
      <c r="A160" s="36"/>
      <c r="B160" s="36"/>
      <c r="C160" s="40"/>
      <c r="D160" s="40"/>
      <c r="E160" s="41"/>
      <c r="F160" s="40"/>
      <c r="G160" s="41"/>
      <c r="H160" s="40"/>
      <c r="I160" s="41"/>
      <c r="J160" s="40"/>
      <c r="K160" s="41"/>
      <c r="L160" s="40"/>
      <c r="M160" s="41"/>
      <c r="N160" s="40"/>
      <c r="O160" s="41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46"/>
    </row>
    <row r="161" ht="15.75" customHeight="1">
      <c r="A161" s="36"/>
      <c r="B161" s="36"/>
      <c r="C161" s="40"/>
      <c r="D161" s="40"/>
      <c r="E161" s="41"/>
      <c r="F161" s="40"/>
      <c r="G161" s="41"/>
      <c r="H161" s="40"/>
      <c r="I161" s="41"/>
      <c r="J161" s="40"/>
      <c r="K161" s="41"/>
      <c r="L161" s="40"/>
      <c r="M161" s="41"/>
      <c r="N161" s="40"/>
      <c r="O161" s="41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46"/>
    </row>
    <row r="162" ht="15.75" customHeight="1">
      <c r="A162" s="36"/>
      <c r="B162" s="36"/>
      <c r="C162" s="40"/>
      <c r="D162" s="40"/>
      <c r="E162" s="41"/>
      <c r="F162" s="40"/>
      <c r="G162" s="41"/>
      <c r="H162" s="40"/>
      <c r="I162" s="41"/>
      <c r="J162" s="40"/>
      <c r="K162" s="41"/>
      <c r="L162" s="40"/>
      <c r="M162" s="41"/>
      <c r="N162" s="40"/>
      <c r="O162" s="41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46"/>
    </row>
    <row r="163" ht="15.75" customHeight="1">
      <c r="A163" s="36"/>
      <c r="B163" s="36"/>
      <c r="C163" s="40"/>
      <c r="D163" s="40"/>
      <c r="E163" s="41"/>
      <c r="F163" s="40"/>
      <c r="G163" s="41"/>
      <c r="H163" s="40"/>
      <c r="I163" s="41"/>
      <c r="J163" s="40"/>
      <c r="K163" s="41"/>
      <c r="L163" s="40"/>
      <c r="M163" s="41"/>
      <c r="N163" s="40"/>
      <c r="O163" s="41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46"/>
    </row>
    <row r="164" ht="15.75" customHeight="1">
      <c r="A164" s="36"/>
      <c r="B164" s="36"/>
      <c r="C164" s="40"/>
      <c r="D164" s="40"/>
      <c r="E164" s="41"/>
      <c r="F164" s="40"/>
      <c r="G164" s="41"/>
      <c r="H164" s="40"/>
      <c r="I164" s="41"/>
      <c r="J164" s="40"/>
      <c r="K164" s="41"/>
      <c r="L164" s="40"/>
      <c r="M164" s="41"/>
      <c r="N164" s="40"/>
      <c r="O164" s="41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46"/>
    </row>
    <row r="165" ht="15.75" customHeight="1">
      <c r="A165" s="36"/>
      <c r="B165" s="36"/>
      <c r="C165" s="40"/>
      <c r="D165" s="40"/>
      <c r="E165" s="41"/>
      <c r="F165" s="40"/>
      <c r="G165" s="41"/>
      <c r="H165" s="40"/>
      <c r="I165" s="41"/>
      <c r="J165" s="40"/>
      <c r="K165" s="41"/>
      <c r="L165" s="40"/>
      <c r="M165" s="41"/>
      <c r="N165" s="40"/>
      <c r="O165" s="41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46"/>
    </row>
    <row r="166" ht="15.75" customHeight="1">
      <c r="A166" s="36"/>
      <c r="B166" s="36"/>
      <c r="C166" s="40"/>
      <c r="D166" s="40"/>
      <c r="E166" s="41"/>
      <c r="F166" s="40"/>
      <c r="G166" s="41"/>
      <c r="H166" s="40"/>
      <c r="I166" s="41"/>
      <c r="J166" s="40"/>
      <c r="K166" s="41"/>
      <c r="L166" s="40"/>
      <c r="M166" s="41"/>
      <c r="N166" s="40"/>
      <c r="O166" s="41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46"/>
    </row>
    <row r="167" ht="15.75" customHeight="1">
      <c r="A167" s="36"/>
      <c r="B167" s="36"/>
      <c r="C167" s="40"/>
      <c r="D167" s="40"/>
      <c r="E167" s="41"/>
      <c r="F167" s="40"/>
      <c r="G167" s="41"/>
      <c r="H167" s="40"/>
      <c r="I167" s="41"/>
      <c r="J167" s="40"/>
      <c r="K167" s="41"/>
      <c r="L167" s="40"/>
      <c r="M167" s="41"/>
      <c r="N167" s="40"/>
      <c r="O167" s="41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46"/>
    </row>
    <row r="168" ht="15.75" customHeight="1">
      <c r="A168" s="36"/>
      <c r="B168" s="36"/>
      <c r="C168" s="40"/>
      <c r="D168" s="40"/>
      <c r="E168" s="41"/>
      <c r="F168" s="40"/>
      <c r="G168" s="41"/>
      <c r="H168" s="40"/>
      <c r="I168" s="41"/>
      <c r="J168" s="40"/>
      <c r="K168" s="41"/>
      <c r="L168" s="40"/>
      <c r="M168" s="41"/>
      <c r="N168" s="40"/>
      <c r="O168" s="41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46"/>
    </row>
    <row r="169" ht="15.75" customHeight="1">
      <c r="A169" s="36"/>
      <c r="B169" s="36"/>
      <c r="C169" s="40"/>
      <c r="D169" s="40"/>
      <c r="E169" s="41"/>
      <c r="F169" s="40"/>
      <c r="G169" s="41"/>
      <c r="H169" s="40"/>
      <c r="I169" s="41"/>
      <c r="J169" s="40"/>
      <c r="K169" s="41"/>
      <c r="L169" s="40"/>
      <c r="M169" s="41"/>
      <c r="N169" s="40"/>
      <c r="O169" s="41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46"/>
    </row>
    <row r="170" ht="15.75" customHeight="1">
      <c r="A170" s="36"/>
      <c r="B170" s="36"/>
      <c r="C170" s="40"/>
      <c r="D170" s="40"/>
      <c r="E170" s="41"/>
      <c r="F170" s="40"/>
      <c r="G170" s="41"/>
      <c r="H170" s="40"/>
      <c r="I170" s="41"/>
      <c r="J170" s="40"/>
      <c r="K170" s="41"/>
      <c r="L170" s="40"/>
      <c r="M170" s="41"/>
      <c r="N170" s="40"/>
      <c r="O170" s="41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46"/>
    </row>
    <row r="171" ht="15.75" customHeight="1">
      <c r="A171" s="36"/>
      <c r="B171" s="36"/>
      <c r="C171" s="40"/>
      <c r="D171" s="40"/>
      <c r="E171" s="41"/>
      <c r="F171" s="40"/>
      <c r="G171" s="41"/>
      <c r="H171" s="40"/>
      <c r="I171" s="41"/>
      <c r="J171" s="40"/>
      <c r="K171" s="41"/>
      <c r="L171" s="40"/>
      <c r="M171" s="41"/>
      <c r="N171" s="40"/>
      <c r="O171" s="41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46"/>
    </row>
    <row r="172" ht="15.75" customHeight="1">
      <c r="A172" s="36"/>
      <c r="B172" s="36"/>
      <c r="C172" s="40"/>
      <c r="D172" s="40"/>
      <c r="E172" s="41"/>
      <c r="F172" s="40"/>
      <c r="G172" s="41"/>
      <c r="H172" s="40"/>
      <c r="I172" s="41"/>
      <c r="J172" s="40"/>
      <c r="K172" s="41"/>
      <c r="L172" s="40"/>
      <c r="M172" s="41"/>
      <c r="N172" s="40"/>
      <c r="O172" s="41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46"/>
    </row>
    <row r="173" ht="15.75" customHeight="1">
      <c r="A173" s="36"/>
      <c r="B173" s="36"/>
      <c r="C173" s="40"/>
      <c r="D173" s="40"/>
      <c r="E173" s="41"/>
      <c r="F173" s="40"/>
      <c r="G173" s="41"/>
      <c r="H173" s="40"/>
      <c r="I173" s="41"/>
      <c r="J173" s="40"/>
      <c r="K173" s="41"/>
      <c r="L173" s="40"/>
      <c r="M173" s="41"/>
      <c r="N173" s="40"/>
      <c r="O173" s="41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46"/>
    </row>
    <row r="174" ht="15.75" customHeight="1">
      <c r="A174" s="36"/>
      <c r="B174" s="36"/>
      <c r="C174" s="40"/>
      <c r="D174" s="40"/>
      <c r="E174" s="41"/>
      <c r="F174" s="40"/>
      <c r="G174" s="41"/>
      <c r="H174" s="40"/>
      <c r="I174" s="41"/>
      <c r="J174" s="40"/>
      <c r="K174" s="41"/>
      <c r="L174" s="40"/>
      <c r="M174" s="41"/>
      <c r="N174" s="40"/>
      <c r="O174" s="41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46"/>
    </row>
    <row r="175" ht="15.75" customHeight="1">
      <c r="A175" s="36"/>
      <c r="B175" s="36"/>
      <c r="C175" s="40"/>
      <c r="D175" s="40"/>
      <c r="E175" s="41"/>
      <c r="F175" s="40"/>
      <c r="G175" s="41"/>
      <c r="H175" s="40"/>
      <c r="I175" s="41"/>
      <c r="J175" s="40"/>
      <c r="K175" s="41"/>
      <c r="L175" s="40"/>
      <c r="M175" s="41"/>
      <c r="N175" s="40"/>
      <c r="O175" s="41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46"/>
    </row>
    <row r="176" ht="15.75" customHeight="1">
      <c r="A176" s="36"/>
      <c r="B176" s="36"/>
      <c r="C176" s="40"/>
      <c r="D176" s="40"/>
      <c r="E176" s="41"/>
      <c r="F176" s="40"/>
      <c r="G176" s="41"/>
      <c r="H176" s="40"/>
      <c r="I176" s="41"/>
      <c r="J176" s="40"/>
      <c r="K176" s="41"/>
      <c r="L176" s="40"/>
      <c r="M176" s="41"/>
      <c r="N176" s="40"/>
      <c r="O176" s="41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46"/>
    </row>
    <row r="177" ht="15.75" customHeight="1">
      <c r="A177" s="36"/>
      <c r="B177" s="36"/>
      <c r="C177" s="40"/>
      <c r="D177" s="40"/>
      <c r="E177" s="41"/>
      <c r="F177" s="40"/>
      <c r="G177" s="41"/>
      <c r="H177" s="40"/>
      <c r="I177" s="41"/>
      <c r="J177" s="40"/>
      <c r="K177" s="41"/>
      <c r="L177" s="40"/>
      <c r="M177" s="41"/>
      <c r="N177" s="40"/>
      <c r="O177" s="41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46"/>
    </row>
    <row r="178" ht="15.75" customHeight="1">
      <c r="A178" s="36"/>
      <c r="B178" s="36"/>
      <c r="C178" s="40"/>
      <c r="D178" s="40"/>
      <c r="E178" s="41"/>
      <c r="F178" s="40"/>
      <c r="G178" s="41"/>
      <c r="H178" s="40"/>
      <c r="I178" s="41"/>
      <c r="J178" s="40"/>
      <c r="K178" s="41"/>
      <c r="L178" s="40"/>
      <c r="M178" s="41"/>
      <c r="N178" s="40"/>
      <c r="O178" s="41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46"/>
    </row>
    <row r="179" ht="15.75" customHeight="1">
      <c r="A179" s="36"/>
      <c r="B179" s="36"/>
      <c r="C179" s="40"/>
      <c r="D179" s="40"/>
      <c r="E179" s="41"/>
      <c r="F179" s="40"/>
      <c r="G179" s="41"/>
      <c r="H179" s="40"/>
      <c r="I179" s="41"/>
      <c r="J179" s="40"/>
      <c r="K179" s="41"/>
      <c r="L179" s="40"/>
      <c r="M179" s="41"/>
      <c r="N179" s="40"/>
      <c r="O179" s="41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46"/>
    </row>
    <row r="180" ht="15.75" customHeight="1">
      <c r="A180" s="36"/>
      <c r="B180" s="36"/>
      <c r="C180" s="40"/>
      <c r="D180" s="40"/>
      <c r="E180" s="41"/>
      <c r="F180" s="40"/>
      <c r="G180" s="41"/>
      <c r="H180" s="40"/>
      <c r="I180" s="41"/>
      <c r="J180" s="40"/>
      <c r="K180" s="41"/>
      <c r="L180" s="40"/>
      <c r="M180" s="41"/>
      <c r="N180" s="40"/>
      <c r="O180" s="41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46"/>
    </row>
    <row r="181" ht="15.75" customHeight="1">
      <c r="A181" s="36"/>
      <c r="B181" s="36"/>
      <c r="C181" s="40"/>
      <c r="D181" s="40"/>
      <c r="E181" s="41"/>
      <c r="F181" s="40"/>
      <c r="G181" s="41"/>
      <c r="H181" s="40"/>
      <c r="I181" s="41"/>
      <c r="J181" s="40"/>
      <c r="K181" s="41"/>
      <c r="L181" s="40"/>
      <c r="M181" s="41"/>
      <c r="N181" s="40"/>
      <c r="O181" s="41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46"/>
    </row>
    <row r="182" ht="15.75" customHeight="1">
      <c r="A182" s="36"/>
      <c r="B182" s="36"/>
      <c r="C182" s="40"/>
      <c r="D182" s="40"/>
      <c r="E182" s="41"/>
      <c r="F182" s="40"/>
      <c r="G182" s="41"/>
      <c r="H182" s="40"/>
      <c r="I182" s="41"/>
      <c r="J182" s="40"/>
      <c r="K182" s="41"/>
      <c r="L182" s="40"/>
      <c r="M182" s="41"/>
      <c r="N182" s="40"/>
      <c r="O182" s="41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46"/>
    </row>
    <row r="183" ht="15.75" customHeight="1">
      <c r="A183" s="36"/>
      <c r="B183" s="36"/>
      <c r="C183" s="40"/>
      <c r="D183" s="40"/>
      <c r="E183" s="41"/>
      <c r="F183" s="40"/>
      <c r="G183" s="41"/>
      <c r="H183" s="40"/>
      <c r="I183" s="41"/>
      <c r="J183" s="40"/>
      <c r="K183" s="41"/>
      <c r="L183" s="40"/>
      <c r="M183" s="41"/>
      <c r="N183" s="40"/>
      <c r="O183" s="41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46"/>
    </row>
    <row r="184" ht="15.75" customHeight="1">
      <c r="A184" s="36"/>
      <c r="B184" s="36"/>
      <c r="C184" s="40"/>
      <c r="D184" s="40"/>
      <c r="E184" s="41"/>
      <c r="F184" s="40"/>
      <c r="G184" s="41"/>
      <c r="H184" s="40"/>
      <c r="I184" s="41"/>
      <c r="J184" s="40"/>
      <c r="K184" s="41"/>
      <c r="L184" s="40"/>
      <c r="M184" s="41"/>
      <c r="N184" s="40"/>
      <c r="O184" s="41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46"/>
    </row>
    <row r="185" ht="15.75" customHeight="1">
      <c r="A185" s="36"/>
      <c r="B185" s="36"/>
      <c r="C185" s="40"/>
      <c r="D185" s="40"/>
      <c r="E185" s="41"/>
      <c r="F185" s="40"/>
      <c r="G185" s="41"/>
      <c r="H185" s="40"/>
      <c r="I185" s="41"/>
      <c r="J185" s="40"/>
      <c r="K185" s="41"/>
      <c r="L185" s="40"/>
      <c r="M185" s="41"/>
      <c r="N185" s="40"/>
      <c r="O185" s="41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46"/>
    </row>
    <row r="186" ht="15.75" customHeight="1">
      <c r="A186" s="36"/>
      <c r="B186" s="36"/>
      <c r="C186" s="40"/>
      <c r="D186" s="40"/>
      <c r="E186" s="41"/>
      <c r="F186" s="40"/>
      <c r="G186" s="41"/>
      <c r="H186" s="40"/>
      <c r="I186" s="41"/>
      <c r="J186" s="40"/>
      <c r="K186" s="41"/>
      <c r="L186" s="40"/>
      <c r="M186" s="41"/>
      <c r="N186" s="40"/>
      <c r="O186" s="41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46"/>
    </row>
    <row r="187" ht="15.75" customHeight="1">
      <c r="A187" s="36"/>
      <c r="B187" s="36"/>
      <c r="C187" s="40"/>
      <c r="D187" s="40"/>
      <c r="E187" s="41"/>
      <c r="F187" s="40"/>
      <c r="G187" s="41"/>
      <c r="H187" s="40"/>
      <c r="I187" s="41"/>
      <c r="J187" s="40"/>
      <c r="K187" s="41"/>
      <c r="L187" s="40"/>
      <c r="M187" s="41"/>
      <c r="N187" s="40"/>
      <c r="O187" s="41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46"/>
    </row>
    <row r="188" ht="15.75" customHeight="1">
      <c r="A188" s="36"/>
      <c r="B188" s="36"/>
      <c r="C188" s="40"/>
      <c r="D188" s="40"/>
      <c r="E188" s="41"/>
      <c r="F188" s="40"/>
      <c r="G188" s="41"/>
      <c r="H188" s="40"/>
      <c r="I188" s="41"/>
      <c r="J188" s="40"/>
      <c r="K188" s="41"/>
      <c r="L188" s="40"/>
      <c r="M188" s="41"/>
      <c r="N188" s="40"/>
      <c r="O188" s="41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46"/>
    </row>
    <row r="189" ht="15.75" customHeight="1">
      <c r="A189" s="36"/>
      <c r="B189" s="36"/>
      <c r="C189" s="40"/>
      <c r="D189" s="40"/>
      <c r="E189" s="41"/>
      <c r="F189" s="40"/>
      <c r="G189" s="41"/>
      <c r="H189" s="40"/>
      <c r="I189" s="41"/>
      <c r="J189" s="40"/>
      <c r="K189" s="41"/>
      <c r="L189" s="40"/>
      <c r="M189" s="41"/>
      <c r="N189" s="40"/>
      <c r="O189" s="41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46"/>
    </row>
    <row r="190" ht="15.75" customHeight="1">
      <c r="A190" s="36"/>
      <c r="B190" s="36"/>
      <c r="C190" s="40"/>
      <c r="D190" s="40"/>
      <c r="E190" s="41"/>
      <c r="F190" s="40"/>
      <c r="G190" s="41"/>
      <c r="H190" s="40"/>
      <c r="I190" s="41"/>
      <c r="J190" s="40"/>
      <c r="K190" s="41"/>
      <c r="L190" s="40"/>
      <c r="M190" s="41"/>
      <c r="N190" s="40"/>
      <c r="O190" s="41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46"/>
    </row>
    <row r="191" ht="15.75" customHeight="1">
      <c r="A191" s="36"/>
      <c r="B191" s="36"/>
      <c r="C191" s="40"/>
      <c r="D191" s="40"/>
      <c r="E191" s="41"/>
      <c r="F191" s="40"/>
      <c r="G191" s="41"/>
      <c r="H191" s="40"/>
      <c r="I191" s="41"/>
      <c r="J191" s="40"/>
      <c r="K191" s="41"/>
      <c r="L191" s="40"/>
      <c r="M191" s="41"/>
      <c r="N191" s="40"/>
      <c r="O191" s="41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46"/>
    </row>
    <row r="192" ht="15.75" customHeight="1">
      <c r="A192" s="36"/>
      <c r="B192" s="36"/>
      <c r="C192" s="40"/>
      <c r="D192" s="40"/>
      <c r="E192" s="41"/>
      <c r="F192" s="40"/>
      <c r="G192" s="41"/>
      <c r="H192" s="40"/>
      <c r="I192" s="41"/>
      <c r="J192" s="40"/>
      <c r="K192" s="41"/>
      <c r="L192" s="40"/>
      <c r="M192" s="41"/>
      <c r="N192" s="40"/>
      <c r="O192" s="41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46"/>
    </row>
    <row r="193" ht="15.75" customHeight="1">
      <c r="A193" s="36"/>
      <c r="B193" s="36"/>
      <c r="C193" s="40"/>
      <c r="D193" s="40"/>
      <c r="E193" s="41"/>
      <c r="F193" s="40"/>
      <c r="G193" s="41"/>
      <c r="H193" s="40"/>
      <c r="I193" s="41"/>
      <c r="J193" s="40"/>
      <c r="K193" s="41"/>
      <c r="L193" s="40"/>
      <c r="M193" s="41"/>
      <c r="N193" s="40"/>
      <c r="O193" s="41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46"/>
    </row>
    <row r="194" ht="15.75" customHeight="1">
      <c r="A194" s="36"/>
      <c r="B194" s="36"/>
      <c r="C194" s="40"/>
      <c r="D194" s="40"/>
      <c r="E194" s="41"/>
      <c r="F194" s="40"/>
      <c r="G194" s="41"/>
      <c r="H194" s="40"/>
      <c r="I194" s="41"/>
      <c r="J194" s="40"/>
      <c r="K194" s="41"/>
      <c r="L194" s="40"/>
      <c r="M194" s="41"/>
      <c r="N194" s="40"/>
      <c r="O194" s="41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46"/>
    </row>
    <row r="195" ht="15.75" customHeight="1">
      <c r="A195" s="36"/>
      <c r="B195" s="36"/>
      <c r="C195" s="40"/>
      <c r="D195" s="40"/>
      <c r="E195" s="41"/>
      <c r="F195" s="40"/>
      <c r="G195" s="41"/>
      <c r="H195" s="40"/>
      <c r="I195" s="41"/>
      <c r="J195" s="40"/>
      <c r="K195" s="41"/>
      <c r="L195" s="40"/>
      <c r="M195" s="41"/>
      <c r="N195" s="40"/>
      <c r="O195" s="41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46"/>
    </row>
    <row r="196" ht="15.75" customHeight="1">
      <c r="A196" s="36"/>
      <c r="B196" s="36"/>
      <c r="C196" s="40"/>
      <c r="D196" s="40"/>
      <c r="E196" s="41"/>
      <c r="F196" s="40"/>
      <c r="G196" s="41"/>
      <c r="H196" s="40"/>
      <c r="I196" s="41"/>
      <c r="J196" s="40"/>
      <c r="K196" s="41"/>
      <c r="L196" s="40"/>
      <c r="M196" s="41"/>
      <c r="N196" s="40"/>
      <c r="O196" s="41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46"/>
    </row>
    <row r="197" ht="15.75" customHeight="1">
      <c r="A197" s="36"/>
      <c r="B197" s="36"/>
      <c r="C197" s="40"/>
      <c r="D197" s="40"/>
      <c r="E197" s="41"/>
      <c r="F197" s="40"/>
      <c r="G197" s="41"/>
      <c r="H197" s="40"/>
      <c r="I197" s="41"/>
      <c r="J197" s="40"/>
      <c r="K197" s="41"/>
      <c r="L197" s="40"/>
      <c r="M197" s="41"/>
      <c r="N197" s="40"/>
      <c r="O197" s="41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46"/>
    </row>
    <row r="198" ht="15.75" customHeight="1">
      <c r="A198" s="36"/>
      <c r="B198" s="36"/>
      <c r="C198" s="40"/>
      <c r="D198" s="40"/>
      <c r="E198" s="41"/>
      <c r="F198" s="40"/>
      <c r="G198" s="41"/>
      <c r="H198" s="40"/>
      <c r="I198" s="41"/>
      <c r="J198" s="40"/>
      <c r="K198" s="41"/>
      <c r="L198" s="40"/>
      <c r="M198" s="41"/>
      <c r="N198" s="40"/>
      <c r="O198" s="41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46"/>
    </row>
    <row r="199" ht="15.75" customHeight="1">
      <c r="A199" s="36"/>
      <c r="B199" s="36"/>
      <c r="C199" s="40"/>
      <c r="D199" s="40"/>
      <c r="E199" s="41"/>
      <c r="F199" s="40"/>
      <c r="G199" s="41"/>
      <c r="H199" s="40"/>
      <c r="I199" s="41"/>
      <c r="J199" s="40"/>
      <c r="K199" s="41"/>
      <c r="L199" s="40"/>
      <c r="M199" s="41"/>
      <c r="N199" s="40"/>
      <c r="O199" s="41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46"/>
    </row>
    <row r="200" ht="15.75" customHeight="1">
      <c r="A200" s="36"/>
      <c r="B200" s="36"/>
      <c r="C200" s="40"/>
      <c r="D200" s="40"/>
      <c r="E200" s="41"/>
      <c r="F200" s="40"/>
      <c r="G200" s="41"/>
      <c r="H200" s="40"/>
      <c r="I200" s="41"/>
      <c r="J200" s="40"/>
      <c r="K200" s="41"/>
      <c r="L200" s="40"/>
      <c r="M200" s="41"/>
      <c r="N200" s="40"/>
      <c r="O200" s="41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46"/>
    </row>
    <row r="201" ht="15.75" customHeight="1">
      <c r="A201" s="36"/>
      <c r="B201" s="36"/>
      <c r="C201" s="40"/>
      <c r="D201" s="40"/>
      <c r="E201" s="41"/>
      <c r="F201" s="40"/>
      <c r="G201" s="41"/>
      <c r="H201" s="40"/>
      <c r="I201" s="41"/>
      <c r="J201" s="40"/>
      <c r="K201" s="41"/>
      <c r="L201" s="40"/>
      <c r="M201" s="41"/>
      <c r="N201" s="40"/>
      <c r="O201" s="41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46"/>
    </row>
    <row r="202" ht="15.75" customHeight="1">
      <c r="A202" s="36"/>
      <c r="B202" s="36"/>
      <c r="C202" s="40"/>
      <c r="D202" s="40"/>
      <c r="E202" s="41"/>
      <c r="F202" s="40"/>
      <c r="G202" s="41"/>
      <c r="H202" s="40"/>
      <c r="I202" s="41"/>
      <c r="J202" s="40"/>
      <c r="K202" s="41"/>
      <c r="L202" s="40"/>
      <c r="M202" s="41"/>
      <c r="N202" s="40"/>
      <c r="O202" s="41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46"/>
    </row>
    <row r="203" ht="15.75" customHeight="1">
      <c r="A203" s="36"/>
      <c r="B203" s="36"/>
      <c r="C203" s="40"/>
      <c r="D203" s="40"/>
      <c r="E203" s="41"/>
      <c r="F203" s="40"/>
      <c r="G203" s="41"/>
      <c r="H203" s="40"/>
      <c r="I203" s="41"/>
      <c r="J203" s="40"/>
      <c r="K203" s="41"/>
      <c r="L203" s="40"/>
      <c r="M203" s="41"/>
      <c r="N203" s="40"/>
      <c r="O203" s="41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46"/>
    </row>
    <row r="204" ht="15.75" customHeight="1">
      <c r="A204" s="36"/>
      <c r="B204" s="36"/>
      <c r="C204" s="40"/>
      <c r="D204" s="40"/>
      <c r="E204" s="41"/>
      <c r="F204" s="40"/>
      <c r="G204" s="41"/>
      <c r="H204" s="40"/>
      <c r="I204" s="41"/>
      <c r="J204" s="40"/>
      <c r="K204" s="41"/>
      <c r="L204" s="40"/>
      <c r="M204" s="41"/>
      <c r="N204" s="40"/>
      <c r="O204" s="41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46"/>
    </row>
    <row r="205" ht="15.75" customHeight="1">
      <c r="A205" s="36"/>
      <c r="B205" s="36"/>
      <c r="C205" s="40"/>
      <c r="D205" s="40"/>
      <c r="E205" s="41"/>
      <c r="F205" s="40"/>
      <c r="G205" s="41"/>
      <c r="H205" s="40"/>
      <c r="I205" s="41"/>
      <c r="J205" s="40"/>
      <c r="K205" s="41"/>
      <c r="L205" s="40"/>
      <c r="M205" s="41"/>
      <c r="N205" s="40"/>
      <c r="O205" s="41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46"/>
    </row>
    <row r="206" ht="15.75" customHeight="1">
      <c r="A206" s="36"/>
      <c r="B206" s="36"/>
      <c r="C206" s="40"/>
      <c r="D206" s="40"/>
      <c r="E206" s="41"/>
      <c r="F206" s="40"/>
      <c r="G206" s="41"/>
      <c r="H206" s="40"/>
      <c r="I206" s="41"/>
      <c r="J206" s="40"/>
      <c r="K206" s="41"/>
      <c r="L206" s="40"/>
      <c r="M206" s="41"/>
      <c r="N206" s="40"/>
      <c r="O206" s="41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46"/>
    </row>
    <row r="207" ht="15.75" customHeight="1">
      <c r="A207" s="36"/>
      <c r="B207" s="36"/>
      <c r="C207" s="40"/>
      <c r="D207" s="40"/>
      <c r="E207" s="41"/>
      <c r="F207" s="40"/>
      <c r="G207" s="41"/>
      <c r="H207" s="40"/>
      <c r="I207" s="41"/>
      <c r="J207" s="40"/>
      <c r="K207" s="41"/>
      <c r="L207" s="40"/>
      <c r="M207" s="41"/>
      <c r="N207" s="40"/>
      <c r="O207" s="41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46"/>
    </row>
    <row r="208" ht="15.75" customHeight="1">
      <c r="A208" s="36"/>
      <c r="B208" s="36"/>
      <c r="C208" s="40"/>
      <c r="D208" s="40"/>
      <c r="E208" s="41"/>
      <c r="F208" s="40"/>
      <c r="G208" s="41"/>
      <c r="H208" s="40"/>
      <c r="I208" s="41"/>
      <c r="J208" s="40"/>
      <c r="K208" s="41"/>
      <c r="L208" s="40"/>
      <c r="M208" s="41"/>
      <c r="N208" s="40"/>
      <c r="O208" s="41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46"/>
    </row>
    <row r="209" ht="15.75" customHeight="1">
      <c r="A209" s="36"/>
      <c r="B209" s="36"/>
      <c r="C209" s="40"/>
      <c r="D209" s="40"/>
      <c r="E209" s="41"/>
      <c r="F209" s="40"/>
      <c r="G209" s="41"/>
      <c r="H209" s="40"/>
      <c r="I209" s="41"/>
      <c r="J209" s="40"/>
      <c r="K209" s="41"/>
      <c r="L209" s="40"/>
      <c r="M209" s="41"/>
      <c r="N209" s="40"/>
      <c r="O209" s="41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46"/>
    </row>
    <row r="210" ht="15.75" customHeight="1">
      <c r="A210" s="36"/>
      <c r="B210" s="36"/>
      <c r="C210" s="40"/>
      <c r="D210" s="40"/>
      <c r="E210" s="41"/>
      <c r="F210" s="40"/>
      <c r="G210" s="41"/>
      <c r="H210" s="40"/>
      <c r="I210" s="41"/>
      <c r="J210" s="40"/>
      <c r="K210" s="41"/>
      <c r="L210" s="40"/>
      <c r="M210" s="41"/>
      <c r="N210" s="40"/>
      <c r="O210" s="41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46"/>
    </row>
    <row r="211" ht="15.75" customHeight="1">
      <c r="A211" s="36"/>
      <c r="B211" s="36"/>
      <c r="C211" s="40"/>
      <c r="D211" s="40"/>
      <c r="E211" s="41"/>
      <c r="F211" s="40"/>
      <c r="G211" s="41"/>
      <c r="H211" s="40"/>
      <c r="I211" s="41"/>
      <c r="J211" s="40"/>
      <c r="K211" s="41"/>
      <c r="L211" s="40"/>
      <c r="M211" s="41"/>
      <c r="N211" s="40"/>
      <c r="O211" s="41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46"/>
    </row>
    <row r="212" ht="15.75" customHeight="1">
      <c r="A212" s="36"/>
      <c r="B212" s="36"/>
      <c r="C212" s="40"/>
      <c r="D212" s="40"/>
      <c r="E212" s="41"/>
      <c r="F212" s="40"/>
      <c r="G212" s="41"/>
      <c r="H212" s="40"/>
      <c r="I212" s="41"/>
      <c r="J212" s="40"/>
      <c r="K212" s="41"/>
      <c r="L212" s="40"/>
      <c r="M212" s="41"/>
      <c r="N212" s="40"/>
      <c r="O212" s="41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46"/>
    </row>
    <row r="213" ht="15.75" customHeight="1">
      <c r="A213" s="36"/>
      <c r="B213" s="36"/>
      <c r="C213" s="40"/>
      <c r="D213" s="40"/>
      <c r="E213" s="41"/>
      <c r="F213" s="40"/>
      <c r="G213" s="41"/>
      <c r="H213" s="40"/>
      <c r="I213" s="41"/>
      <c r="J213" s="40"/>
      <c r="K213" s="41"/>
      <c r="L213" s="40"/>
      <c r="M213" s="41"/>
      <c r="N213" s="40"/>
      <c r="O213" s="41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46"/>
    </row>
    <row r="214" ht="15.75" customHeight="1">
      <c r="A214" s="36"/>
      <c r="B214" s="36"/>
      <c r="C214" s="40"/>
      <c r="D214" s="40"/>
      <c r="E214" s="41"/>
      <c r="F214" s="40"/>
      <c r="G214" s="41"/>
      <c r="H214" s="40"/>
      <c r="I214" s="41"/>
      <c r="J214" s="40"/>
      <c r="K214" s="41"/>
      <c r="L214" s="40"/>
      <c r="M214" s="41"/>
      <c r="N214" s="40"/>
      <c r="O214" s="41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46"/>
    </row>
    <row r="215" ht="15.75" customHeight="1">
      <c r="A215" s="36"/>
      <c r="B215" s="36"/>
      <c r="C215" s="40"/>
      <c r="D215" s="40"/>
      <c r="E215" s="41"/>
      <c r="F215" s="40"/>
      <c r="G215" s="41"/>
      <c r="H215" s="40"/>
      <c r="I215" s="41"/>
      <c r="J215" s="40"/>
      <c r="K215" s="41"/>
      <c r="L215" s="40"/>
      <c r="M215" s="41"/>
      <c r="N215" s="40"/>
      <c r="O215" s="41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46"/>
    </row>
    <row r="216" ht="15.75" customHeight="1">
      <c r="A216" s="36"/>
      <c r="B216" s="36"/>
      <c r="C216" s="40"/>
      <c r="D216" s="40"/>
      <c r="E216" s="41"/>
      <c r="F216" s="40"/>
      <c r="G216" s="41"/>
      <c r="H216" s="40"/>
      <c r="I216" s="41"/>
      <c r="J216" s="40"/>
      <c r="K216" s="41"/>
      <c r="L216" s="40"/>
      <c r="M216" s="41"/>
      <c r="N216" s="40"/>
      <c r="O216" s="41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46"/>
    </row>
    <row r="217" ht="15.75" customHeight="1">
      <c r="A217" s="36"/>
      <c r="B217" s="36"/>
      <c r="C217" s="40"/>
      <c r="D217" s="40"/>
      <c r="E217" s="41"/>
      <c r="F217" s="40"/>
      <c r="G217" s="41"/>
      <c r="H217" s="40"/>
      <c r="I217" s="41"/>
      <c r="J217" s="40"/>
      <c r="K217" s="41"/>
      <c r="L217" s="40"/>
      <c r="M217" s="41"/>
      <c r="N217" s="40"/>
      <c r="O217" s="41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46"/>
    </row>
    <row r="218" ht="15.75" customHeight="1">
      <c r="A218" s="36"/>
      <c r="B218" s="36"/>
      <c r="C218" s="40"/>
      <c r="D218" s="40"/>
      <c r="E218" s="41"/>
      <c r="F218" s="40"/>
      <c r="G218" s="41"/>
      <c r="H218" s="40"/>
      <c r="I218" s="41"/>
      <c r="J218" s="40"/>
      <c r="K218" s="41"/>
      <c r="L218" s="40"/>
      <c r="M218" s="41"/>
      <c r="N218" s="40"/>
      <c r="O218" s="41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46"/>
    </row>
    <row r="219" ht="15.75" customHeight="1">
      <c r="A219" s="36"/>
      <c r="B219" s="36"/>
      <c r="C219" s="40"/>
      <c r="D219" s="40"/>
      <c r="E219" s="41"/>
      <c r="F219" s="40"/>
      <c r="G219" s="41"/>
      <c r="H219" s="40"/>
      <c r="I219" s="41"/>
      <c r="J219" s="40"/>
      <c r="K219" s="41"/>
      <c r="L219" s="40"/>
      <c r="M219" s="41"/>
      <c r="N219" s="40"/>
      <c r="O219" s="41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46"/>
    </row>
    <row r="220" ht="15.75" customHeight="1">
      <c r="A220" s="36"/>
      <c r="B220" s="36"/>
      <c r="C220" s="40"/>
      <c r="D220" s="40"/>
      <c r="E220" s="41"/>
      <c r="F220" s="40"/>
      <c r="G220" s="41"/>
      <c r="H220" s="40"/>
      <c r="I220" s="41"/>
      <c r="J220" s="40"/>
      <c r="K220" s="41"/>
      <c r="L220" s="40"/>
      <c r="M220" s="41"/>
      <c r="N220" s="40"/>
      <c r="O220" s="41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46"/>
    </row>
    <row r="221" ht="15.75" customHeight="1">
      <c r="A221" s="36"/>
      <c r="B221" s="36"/>
      <c r="C221" s="40"/>
      <c r="D221" s="40"/>
      <c r="E221" s="41"/>
      <c r="F221" s="40"/>
      <c r="G221" s="41"/>
      <c r="H221" s="40"/>
      <c r="I221" s="41"/>
      <c r="J221" s="40"/>
      <c r="K221" s="41"/>
      <c r="L221" s="40"/>
      <c r="M221" s="41"/>
      <c r="N221" s="40"/>
      <c r="O221" s="41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46"/>
    </row>
    <row r="222" ht="15.75" customHeight="1">
      <c r="A222" s="36"/>
      <c r="B222" s="36"/>
      <c r="C222" s="40"/>
      <c r="D222" s="40"/>
      <c r="E222" s="41"/>
      <c r="F222" s="40"/>
      <c r="G222" s="41"/>
      <c r="H222" s="40"/>
      <c r="I222" s="41"/>
      <c r="J222" s="40"/>
      <c r="K222" s="41"/>
      <c r="L222" s="40"/>
      <c r="M222" s="41"/>
      <c r="N222" s="40"/>
      <c r="O222" s="41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46"/>
    </row>
    <row r="223" ht="15.75" customHeight="1">
      <c r="A223" s="36"/>
      <c r="B223" s="36"/>
      <c r="C223" s="40"/>
      <c r="D223" s="40"/>
      <c r="E223" s="41"/>
      <c r="F223" s="40"/>
      <c r="G223" s="41"/>
      <c r="H223" s="40"/>
      <c r="I223" s="41"/>
      <c r="J223" s="40"/>
      <c r="K223" s="41"/>
      <c r="L223" s="40"/>
      <c r="M223" s="41"/>
      <c r="N223" s="40"/>
      <c r="O223" s="41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46"/>
    </row>
    <row r="224" ht="15.75" customHeight="1">
      <c r="A224" s="36"/>
      <c r="B224" s="36"/>
      <c r="C224" s="40"/>
      <c r="D224" s="40"/>
      <c r="E224" s="41"/>
      <c r="F224" s="40"/>
      <c r="G224" s="41"/>
      <c r="H224" s="40"/>
      <c r="I224" s="41"/>
      <c r="J224" s="40"/>
      <c r="K224" s="41"/>
      <c r="L224" s="40"/>
      <c r="M224" s="41"/>
      <c r="N224" s="40"/>
      <c r="O224" s="41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46"/>
    </row>
    <row r="225" ht="15.75" customHeight="1">
      <c r="A225" s="36"/>
      <c r="B225" s="36"/>
      <c r="C225" s="40"/>
      <c r="D225" s="40"/>
      <c r="E225" s="41"/>
      <c r="F225" s="40"/>
      <c r="G225" s="41"/>
      <c r="H225" s="40"/>
      <c r="I225" s="41"/>
      <c r="J225" s="40"/>
      <c r="K225" s="41"/>
      <c r="L225" s="40"/>
      <c r="M225" s="41"/>
      <c r="N225" s="40"/>
      <c r="O225" s="41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46"/>
    </row>
    <row r="226" ht="15.75" customHeight="1">
      <c r="A226" s="36"/>
      <c r="B226" s="36"/>
      <c r="C226" s="40"/>
      <c r="D226" s="40"/>
      <c r="E226" s="41"/>
      <c r="F226" s="40"/>
      <c r="G226" s="41"/>
      <c r="H226" s="40"/>
      <c r="I226" s="41"/>
      <c r="J226" s="40"/>
      <c r="K226" s="41"/>
      <c r="L226" s="40"/>
      <c r="M226" s="41"/>
      <c r="N226" s="40"/>
      <c r="O226" s="41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46"/>
    </row>
    <row r="227" ht="15.75" customHeight="1">
      <c r="A227" s="36"/>
      <c r="B227" s="36"/>
      <c r="C227" s="40"/>
      <c r="D227" s="40"/>
      <c r="E227" s="41"/>
      <c r="F227" s="40"/>
      <c r="G227" s="41"/>
      <c r="H227" s="40"/>
      <c r="I227" s="41"/>
      <c r="J227" s="40"/>
      <c r="K227" s="41"/>
      <c r="L227" s="40"/>
      <c r="M227" s="41"/>
      <c r="N227" s="40"/>
      <c r="O227" s="41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46"/>
    </row>
    <row r="228" ht="15.75" customHeight="1">
      <c r="A228" s="36"/>
      <c r="B228" s="36"/>
      <c r="C228" s="40"/>
      <c r="D228" s="40"/>
      <c r="E228" s="41"/>
      <c r="F228" s="40"/>
      <c r="G228" s="41"/>
      <c r="H228" s="40"/>
      <c r="I228" s="41"/>
      <c r="J228" s="40"/>
      <c r="K228" s="41"/>
      <c r="L228" s="40"/>
      <c r="M228" s="41"/>
      <c r="N228" s="40"/>
      <c r="O228" s="41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46"/>
    </row>
    <row r="229" ht="15.75" customHeight="1">
      <c r="A229" s="36"/>
      <c r="B229" s="36"/>
      <c r="C229" s="40"/>
      <c r="D229" s="40"/>
      <c r="E229" s="41"/>
      <c r="F229" s="40"/>
      <c r="G229" s="41"/>
      <c r="H229" s="40"/>
      <c r="I229" s="41"/>
      <c r="J229" s="40"/>
      <c r="K229" s="41"/>
      <c r="L229" s="40"/>
      <c r="M229" s="41"/>
      <c r="N229" s="40"/>
      <c r="O229" s="41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46"/>
    </row>
    <row r="230" ht="15.75" customHeight="1">
      <c r="A230" s="36"/>
      <c r="B230" s="36"/>
      <c r="C230" s="40"/>
      <c r="D230" s="40"/>
      <c r="E230" s="41"/>
      <c r="F230" s="40"/>
      <c r="G230" s="41"/>
      <c r="H230" s="40"/>
      <c r="I230" s="41"/>
      <c r="J230" s="40"/>
      <c r="K230" s="41"/>
      <c r="L230" s="40"/>
      <c r="M230" s="41"/>
      <c r="N230" s="40"/>
      <c r="O230" s="41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46"/>
    </row>
    <row r="231" ht="15.75" customHeight="1">
      <c r="A231" s="36"/>
      <c r="B231" s="36"/>
      <c r="C231" s="40"/>
      <c r="D231" s="40"/>
      <c r="E231" s="41"/>
      <c r="F231" s="40"/>
      <c r="G231" s="41"/>
      <c r="H231" s="40"/>
      <c r="I231" s="41"/>
      <c r="J231" s="40"/>
      <c r="K231" s="41"/>
      <c r="L231" s="40"/>
      <c r="M231" s="41"/>
      <c r="N231" s="40"/>
      <c r="O231" s="41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46"/>
    </row>
    <row r="232" ht="15.75" customHeight="1">
      <c r="A232" s="36"/>
      <c r="B232" s="36"/>
      <c r="C232" s="40"/>
      <c r="D232" s="40"/>
      <c r="E232" s="41"/>
      <c r="F232" s="40"/>
      <c r="G232" s="41"/>
      <c r="H232" s="40"/>
      <c r="I232" s="41"/>
      <c r="J232" s="40"/>
      <c r="K232" s="41"/>
      <c r="L232" s="40"/>
      <c r="M232" s="41"/>
      <c r="N232" s="40"/>
      <c r="O232" s="41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46"/>
    </row>
    <row r="233" ht="15.75" customHeight="1">
      <c r="A233" s="36"/>
      <c r="B233" s="36"/>
      <c r="C233" s="40"/>
      <c r="D233" s="40"/>
      <c r="E233" s="41"/>
      <c r="F233" s="40"/>
      <c r="G233" s="41"/>
      <c r="H233" s="40"/>
      <c r="I233" s="41"/>
      <c r="J233" s="40"/>
      <c r="K233" s="41"/>
      <c r="L233" s="40"/>
      <c r="M233" s="41"/>
      <c r="N233" s="40"/>
      <c r="O233" s="41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46"/>
    </row>
    <row r="234" ht="15.75" customHeight="1">
      <c r="A234" s="36"/>
      <c r="B234" s="36"/>
      <c r="C234" s="40"/>
      <c r="D234" s="40"/>
      <c r="E234" s="41"/>
      <c r="F234" s="40"/>
      <c r="G234" s="41"/>
      <c r="H234" s="40"/>
      <c r="I234" s="41"/>
      <c r="J234" s="40"/>
      <c r="K234" s="41"/>
      <c r="L234" s="40"/>
      <c r="M234" s="41"/>
      <c r="N234" s="40"/>
      <c r="O234" s="41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46"/>
    </row>
    <row r="235" ht="15.75" customHeight="1">
      <c r="A235" s="36"/>
      <c r="B235" s="36"/>
      <c r="C235" s="40"/>
      <c r="D235" s="40"/>
      <c r="E235" s="41"/>
      <c r="F235" s="40"/>
      <c r="G235" s="41"/>
      <c r="H235" s="40"/>
      <c r="I235" s="41"/>
      <c r="J235" s="40"/>
      <c r="K235" s="41"/>
      <c r="L235" s="40"/>
      <c r="M235" s="41"/>
      <c r="N235" s="40"/>
      <c r="O235" s="41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46"/>
    </row>
    <row r="236" ht="15.75" customHeight="1">
      <c r="A236" s="36"/>
      <c r="B236" s="36"/>
      <c r="C236" s="40"/>
      <c r="D236" s="40"/>
      <c r="E236" s="41"/>
      <c r="F236" s="40"/>
      <c r="G236" s="41"/>
      <c r="H236" s="40"/>
      <c r="I236" s="41"/>
      <c r="J236" s="40"/>
      <c r="K236" s="41"/>
      <c r="L236" s="40"/>
      <c r="M236" s="41"/>
      <c r="N236" s="40"/>
      <c r="O236" s="41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46"/>
    </row>
    <row r="237" ht="15.75" customHeight="1">
      <c r="A237" s="36"/>
      <c r="B237" s="36"/>
      <c r="C237" s="40"/>
      <c r="D237" s="40"/>
      <c r="E237" s="41"/>
      <c r="F237" s="40"/>
      <c r="G237" s="41"/>
      <c r="H237" s="40"/>
      <c r="I237" s="41"/>
      <c r="J237" s="40"/>
      <c r="K237" s="41"/>
      <c r="L237" s="40"/>
      <c r="M237" s="41"/>
      <c r="N237" s="40"/>
      <c r="O237" s="41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46"/>
    </row>
    <row r="238" ht="15.75" customHeight="1">
      <c r="A238" s="36"/>
      <c r="B238" s="36"/>
      <c r="C238" s="40"/>
      <c r="D238" s="40"/>
      <c r="E238" s="41"/>
      <c r="F238" s="40"/>
      <c r="G238" s="41"/>
      <c r="H238" s="40"/>
      <c r="I238" s="41"/>
      <c r="J238" s="40"/>
      <c r="K238" s="41"/>
      <c r="L238" s="40"/>
      <c r="M238" s="41"/>
      <c r="N238" s="40"/>
      <c r="O238" s="41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46"/>
    </row>
    <row r="239" ht="15.75" customHeight="1">
      <c r="A239" s="36"/>
      <c r="B239" s="36"/>
      <c r="C239" s="40"/>
      <c r="D239" s="40"/>
      <c r="E239" s="41"/>
      <c r="F239" s="40"/>
      <c r="G239" s="41"/>
      <c r="H239" s="40"/>
      <c r="I239" s="41"/>
      <c r="J239" s="40"/>
      <c r="K239" s="41"/>
      <c r="L239" s="40"/>
      <c r="M239" s="41"/>
      <c r="N239" s="40"/>
      <c r="O239" s="41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46"/>
    </row>
    <row r="240" ht="15.75" customHeight="1">
      <c r="A240" s="36"/>
      <c r="B240" s="36"/>
      <c r="C240" s="40"/>
      <c r="D240" s="40"/>
      <c r="E240" s="41"/>
      <c r="F240" s="40"/>
      <c r="G240" s="41"/>
      <c r="H240" s="40"/>
      <c r="I240" s="41"/>
      <c r="J240" s="40"/>
      <c r="K240" s="41"/>
      <c r="L240" s="40"/>
      <c r="M240" s="41"/>
      <c r="N240" s="40"/>
      <c r="O240" s="41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46"/>
    </row>
    <row r="241" ht="15.75" customHeight="1">
      <c r="A241" s="36"/>
      <c r="B241" s="36"/>
      <c r="C241" s="40"/>
      <c r="D241" s="40"/>
      <c r="E241" s="41"/>
      <c r="F241" s="40"/>
      <c r="G241" s="41"/>
      <c r="H241" s="40"/>
      <c r="I241" s="41"/>
      <c r="J241" s="40"/>
      <c r="K241" s="41"/>
      <c r="L241" s="40"/>
      <c r="M241" s="41"/>
      <c r="N241" s="40"/>
      <c r="O241" s="41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46"/>
    </row>
    <row r="242" ht="15.75" customHeight="1">
      <c r="A242" s="36"/>
      <c r="B242" s="36"/>
      <c r="C242" s="40"/>
      <c r="D242" s="40"/>
      <c r="E242" s="41"/>
      <c r="F242" s="40"/>
      <c r="G242" s="41"/>
      <c r="H242" s="40"/>
      <c r="I242" s="41"/>
      <c r="J242" s="40"/>
      <c r="K242" s="41"/>
      <c r="L242" s="40"/>
      <c r="M242" s="41"/>
      <c r="N242" s="40"/>
      <c r="O242" s="41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46"/>
    </row>
    <row r="243" ht="15.75" customHeight="1">
      <c r="A243" s="36"/>
      <c r="B243" s="36"/>
      <c r="C243" s="40"/>
      <c r="D243" s="40"/>
      <c r="E243" s="41"/>
      <c r="F243" s="40"/>
      <c r="G243" s="41"/>
      <c r="H243" s="40"/>
      <c r="I243" s="41"/>
      <c r="J243" s="40"/>
      <c r="K243" s="41"/>
      <c r="L243" s="40"/>
      <c r="M243" s="41"/>
      <c r="N243" s="40"/>
      <c r="O243" s="41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46"/>
    </row>
    <row r="244" ht="15.75" customHeight="1">
      <c r="A244" s="36"/>
      <c r="B244" s="36"/>
      <c r="C244" s="40"/>
      <c r="D244" s="40"/>
      <c r="E244" s="41"/>
      <c r="F244" s="40"/>
      <c r="G244" s="41"/>
      <c r="H244" s="40"/>
      <c r="I244" s="41"/>
      <c r="J244" s="40"/>
      <c r="K244" s="41"/>
      <c r="L244" s="40"/>
      <c r="M244" s="41"/>
      <c r="N244" s="40"/>
      <c r="O244" s="41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46"/>
    </row>
    <row r="245" ht="15.75" customHeight="1">
      <c r="A245" s="36"/>
      <c r="B245" s="36"/>
      <c r="C245" s="40"/>
      <c r="D245" s="40"/>
      <c r="E245" s="41"/>
      <c r="F245" s="40"/>
      <c r="G245" s="41"/>
      <c r="H245" s="40"/>
      <c r="I245" s="41"/>
      <c r="J245" s="40"/>
      <c r="K245" s="41"/>
      <c r="L245" s="40"/>
      <c r="M245" s="41"/>
      <c r="N245" s="40"/>
      <c r="O245" s="41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46"/>
    </row>
    <row r="246" ht="15.75" customHeight="1">
      <c r="A246" s="36"/>
      <c r="B246" s="36"/>
      <c r="C246" s="40"/>
      <c r="D246" s="40"/>
      <c r="E246" s="41"/>
      <c r="F246" s="40"/>
      <c r="G246" s="41"/>
      <c r="H246" s="40"/>
      <c r="I246" s="41"/>
      <c r="J246" s="40"/>
      <c r="K246" s="41"/>
      <c r="L246" s="40"/>
      <c r="M246" s="41"/>
      <c r="N246" s="40"/>
      <c r="O246" s="41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46"/>
    </row>
    <row r="247" ht="15.75" customHeight="1">
      <c r="A247" s="36"/>
      <c r="B247" s="36"/>
      <c r="C247" s="40"/>
      <c r="D247" s="40"/>
      <c r="E247" s="41"/>
      <c r="F247" s="40"/>
      <c r="G247" s="41"/>
      <c r="H247" s="40"/>
      <c r="I247" s="41"/>
      <c r="J247" s="40"/>
      <c r="K247" s="41"/>
      <c r="L247" s="40"/>
      <c r="M247" s="41"/>
      <c r="N247" s="40"/>
      <c r="O247" s="41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46"/>
    </row>
    <row r="248" ht="15.75" customHeight="1">
      <c r="A248" s="36"/>
      <c r="B248" s="36"/>
      <c r="C248" s="40"/>
      <c r="D248" s="40"/>
      <c r="E248" s="41"/>
      <c r="F248" s="40"/>
      <c r="G248" s="41"/>
      <c r="H248" s="40"/>
      <c r="I248" s="41"/>
      <c r="J248" s="40"/>
      <c r="K248" s="41"/>
      <c r="L248" s="40"/>
      <c r="M248" s="41"/>
      <c r="N248" s="40"/>
      <c r="O248" s="41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46"/>
    </row>
    <row r="249" ht="15.75" customHeight="1">
      <c r="A249" s="36"/>
      <c r="B249" s="36"/>
      <c r="C249" s="40"/>
      <c r="D249" s="40"/>
      <c r="E249" s="41"/>
      <c r="F249" s="40"/>
      <c r="G249" s="41"/>
      <c r="H249" s="40"/>
      <c r="I249" s="41"/>
      <c r="J249" s="40"/>
      <c r="K249" s="41"/>
      <c r="L249" s="40"/>
      <c r="M249" s="41"/>
      <c r="N249" s="40"/>
      <c r="O249" s="41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46"/>
    </row>
    <row r="250" ht="15.75" customHeight="1">
      <c r="A250" s="36"/>
      <c r="B250" s="36"/>
      <c r="C250" s="40"/>
      <c r="D250" s="40"/>
      <c r="E250" s="41"/>
      <c r="F250" s="40"/>
      <c r="G250" s="41"/>
      <c r="H250" s="40"/>
      <c r="I250" s="41"/>
      <c r="J250" s="40"/>
      <c r="K250" s="41"/>
      <c r="L250" s="40"/>
      <c r="M250" s="41"/>
      <c r="N250" s="40"/>
      <c r="O250" s="41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46"/>
    </row>
    <row r="251" ht="15.75" customHeight="1">
      <c r="A251" s="36"/>
      <c r="B251" s="36"/>
      <c r="C251" s="40"/>
      <c r="D251" s="40"/>
      <c r="E251" s="41"/>
      <c r="F251" s="40"/>
      <c r="G251" s="41"/>
      <c r="H251" s="40"/>
      <c r="I251" s="41"/>
      <c r="J251" s="40"/>
      <c r="K251" s="41"/>
      <c r="L251" s="40"/>
      <c r="M251" s="41"/>
      <c r="N251" s="40"/>
      <c r="O251" s="41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46"/>
    </row>
    <row r="252" ht="15.75" customHeight="1">
      <c r="A252" s="36"/>
      <c r="B252" s="36"/>
      <c r="C252" s="40"/>
      <c r="D252" s="40"/>
      <c r="E252" s="41"/>
      <c r="F252" s="40"/>
      <c r="G252" s="41"/>
      <c r="H252" s="40"/>
      <c r="I252" s="41"/>
      <c r="J252" s="40"/>
      <c r="K252" s="41"/>
      <c r="L252" s="40"/>
      <c r="M252" s="41"/>
      <c r="N252" s="40"/>
      <c r="O252" s="41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46"/>
    </row>
    <row r="253" ht="15.75" customHeight="1">
      <c r="A253" s="36"/>
      <c r="B253" s="36"/>
      <c r="C253" s="40"/>
      <c r="D253" s="40"/>
      <c r="E253" s="41"/>
      <c r="F253" s="40"/>
      <c r="G253" s="41"/>
      <c r="H253" s="40"/>
      <c r="I253" s="41"/>
      <c r="J253" s="40"/>
      <c r="K253" s="41"/>
      <c r="L253" s="40"/>
      <c r="M253" s="41"/>
      <c r="N253" s="40"/>
      <c r="O253" s="41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46"/>
    </row>
    <row r="254" ht="15.75" customHeight="1">
      <c r="A254" s="36"/>
      <c r="B254" s="36"/>
      <c r="C254" s="40"/>
      <c r="D254" s="40"/>
      <c r="E254" s="41"/>
      <c r="F254" s="40"/>
      <c r="G254" s="41"/>
      <c r="H254" s="40"/>
      <c r="I254" s="41"/>
      <c r="J254" s="40"/>
      <c r="K254" s="41"/>
      <c r="L254" s="40"/>
      <c r="M254" s="41"/>
      <c r="N254" s="40"/>
      <c r="O254" s="41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46"/>
    </row>
    <row r="255" ht="15.75" customHeight="1">
      <c r="A255" s="36"/>
      <c r="B255" s="36"/>
      <c r="C255" s="40"/>
      <c r="D255" s="40"/>
      <c r="E255" s="41"/>
      <c r="F255" s="40"/>
      <c r="G255" s="41"/>
      <c r="H255" s="40"/>
      <c r="I255" s="41"/>
      <c r="J255" s="40"/>
      <c r="K255" s="41"/>
      <c r="L255" s="40"/>
      <c r="M255" s="41"/>
      <c r="N255" s="40"/>
      <c r="O255" s="41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46"/>
    </row>
    <row r="256" ht="15.75" customHeight="1">
      <c r="A256" s="36"/>
      <c r="B256" s="36"/>
      <c r="C256" s="40"/>
      <c r="D256" s="40"/>
      <c r="E256" s="41"/>
      <c r="F256" s="40"/>
      <c r="G256" s="41"/>
      <c r="H256" s="40"/>
      <c r="I256" s="41"/>
      <c r="J256" s="40"/>
      <c r="K256" s="41"/>
      <c r="L256" s="40"/>
      <c r="M256" s="41"/>
      <c r="N256" s="40"/>
      <c r="O256" s="41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46"/>
    </row>
    <row r="257" ht="15.75" customHeight="1">
      <c r="A257" s="36"/>
      <c r="B257" s="36"/>
      <c r="C257" s="40"/>
      <c r="D257" s="40"/>
      <c r="E257" s="41"/>
      <c r="F257" s="40"/>
      <c r="G257" s="41"/>
      <c r="H257" s="40"/>
      <c r="I257" s="41"/>
      <c r="J257" s="40"/>
      <c r="K257" s="41"/>
      <c r="L257" s="40"/>
      <c r="M257" s="41"/>
      <c r="N257" s="40"/>
      <c r="O257" s="41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46"/>
    </row>
    <row r="258" ht="15.75" customHeight="1">
      <c r="A258" s="36"/>
      <c r="B258" s="36"/>
      <c r="C258" s="40"/>
      <c r="D258" s="40"/>
      <c r="E258" s="41"/>
      <c r="F258" s="40"/>
      <c r="G258" s="41"/>
      <c r="H258" s="40"/>
      <c r="I258" s="41"/>
      <c r="J258" s="40"/>
      <c r="K258" s="41"/>
      <c r="L258" s="40"/>
      <c r="M258" s="41"/>
      <c r="N258" s="40"/>
      <c r="O258" s="41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46"/>
    </row>
    <row r="259" ht="15.75" customHeight="1">
      <c r="A259" s="36"/>
      <c r="B259" s="36"/>
      <c r="C259" s="40"/>
      <c r="D259" s="40"/>
      <c r="E259" s="41"/>
      <c r="F259" s="40"/>
      <c r="G259" s="41"/>
      <c r="H259" s="40"/>
      <c r="I259" s="41"/>
      <c r="J259" s="40"/>
      <c r="K259" s="41"/>
      <c r="L259" s="40"/>
      <c r="M259" s="41"/>
      <c r="N259" s="40"/>
      <c r="O259" s="41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46"/>
    </row>
    <row r="260" ht="15.75" customHeight="1">
      <c r="A260" s="36"/>
      <c r="B260" s="36"/>
      <c r="C260" s="40"/>
      <c r="D260" s="40"/>
      <c r="E260" s="41"/>
      <c r="F260" s="40"/>
      <c r="G260" s="41"/>
      <c r="H260" s="40"/>
      <c r="I260" s="41"/>
      <c r="J260" s="40"/>
      <c r="K260" s="41"/>
      <c r="L260" s="40"/>
      <c r="M260" s="41"/>
      <c r="N260" s="40"/>
      <c r="O260" s="41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46"/>
    </row>
    <row r="261" ht="15.75" customHeight="1">
      <c r="A261" s="36"/>
      <c r="B261" s="36"/>
      <c r="C261" s="40"/>
      <c r="D261" s="40"/>
      <c r="E261" s="41"/>
      <c r="F261" s="40"/>
      <c r="G261" s="41"/>
      <c r="H261" s="40"/>
      <c r="I261" s="41"/>
      <c r="J261" s="40"/>
      <c r="K261" s="41"/>
      <c r="L261" s="40"/>
      <c r="M261" s="41"/>
      <c r="N261" s="40"/>
      <c r="O261" s="41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46"/>
    </row>
    <row r="262" ht="15.75" customHeight="1">
      <c r="A262" s="36"/>
      <c r="B262" s="36"/>
      <c r="C262" s="40"/>
      <c r="D262" s="40"/>
      <c r="E262" s="41"/>
      <c r="F262" s="40"/>
      <c r="G262" s="41"/>
      <c r="H262" s="40"/>
      <c r="I262" s="41"/>
      <c r="J262" s="40"/>
      <c r="K262" s="41"/>
      <c r="L262" s="40"/>
      <c r="M262" s="41"/>
      <c r="N262" s="40"/>
      <c r="O262" s="41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46"/>
    </row>
    <row r="263" ht="15.75" customHeight="1">
      <c r="A263" s="36"/>
      <c r="B263" s="36"/>
      <c r="C263" s="40"/>
      <c r="D263" s="40"/>
      <c r="E263" s="41"/>
      <c r="F263" s="40"/>
      <c r="G263" s="41"/>
      <c r="H263" s="40"/>
      <c r="I263" s="41"/>
      <c r="J263" s="40"/>
      <c r="K263" s="41"/>
      <c r="L263" s="40"/>
      <c r="M263" s="41"/>
      <c r="N263" s="40"/>
      <c r="O263" s="41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46"/>
    </row>
    <row r="264" ht="15.75" customHeight="1">
      <c r="A264" s="36"/>
      <c r="B264" s="36"/>
      <c r="C264" s="40"/>
      <c r="D264" s="40"/>
      <c r="E264" s="41"/>
      <c r="F264" s="40"/>
      <c r="G264" s="41"/>
      <c r="H264" s="40"/>
      <c r="I264" s="41"/>
      <c r="J264" s="40"/>
      <c r="K264" s="41"/>
      <c r="L264" s="40"/>
      <c r="M264" s="41"/>
      <c r="N264" s="40"/>
      <c r="O264" s="41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46"/>
    </row>
    <row r="265" ht="15.75" customHeight="1">
      <c r="A265" s="36"/>
      <c r="B265" s="36"/>
      <c r="C265" s="40"/>
      <c r="D265" s="40"/>
      <c r="E265" s="41"/>
      <c r="F265" s="40"/>
      <c r="G265" s="41"/>
      <c r="H265" s="40"/>
      <c r="I265" s="41"/>
      <c r="J265" s="40"/>
      <c r="K265" s="41"/>
      <c r="L265" s="40"/>
      <c r="M265" s="41"/>
      <c r="N265" s="40"/>
      <c r="O265" s="41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46"/>
    </row>
    <row r="266" ht="15.75" customHeight="1">
      <c r="A266" s="36"/>
      <c r="B266" s="36"/>
      <c r="C266" s="40"/>
      <c r="D266" s="40"/>
      <c r="E266" s="41"/>
      <c r="F266" s="40"/>
      <c r="G266" s="41"/>
      <c r="H266" s="40"/>
      <c r="I266" s="41"/>
      <c r="J266" s="40"/>
      <c r="K266" s="41"/>
      <c r="L266" s="40"/>
      <c r="M266" s="41"/>
      <c r="N266" s="40"/>
      <c r="O266" s="41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46"/>
    </row>
    <row r="267" ht="15.75" customHeight="1">
      <c r="A267" s="36"/>
      <c r="B267" s="36"/>
      <c r="C267" s="40"/>
      <c r="D267" s="40"/>
      <c r="E267" s="41"/>
      <c r="F267" s="40"/>
      <c r="G267" s="41"/>
      <c r="H267" s="40"/>
      <c r="I267" s="41"/>
      <c r="J267" s="40"/>
      <c r="K267" s="41"/>
      <c r="L267" s="40"/>
      <c r="M267" s="41"/>
      <c r="N267" s="40"/>
      <c r="O267" s="41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46"/>
    </row>
    <row r="268" ht="15.75" customHeight="1">
      <c r="A268" s="36"/>
      <c r="B268" s="36"/>
      <c r="C268" s="40"/>
      <c r="D268" s="40"/>
      <c r="E268" s="41"/>
      <c r="F268" s="40"/>
      <c r="G268" s="41"/>
      <c r="H268" s="40"/>
      <c r="I268" s="41"/>
      <c r="J268" s="40"/>
      <c r="K268" s="41"/>
      <c r="L268" s="40"/>
      <c r="M268" s="41"/>
      <c r="N268" s="40"/>
      <c r="O268" s="41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46"/>
    </row>
    <row r="269" ht="15.75" customHeight="1">
      <c r="A269" s="36"/>
      <c r="B269" s="36"/>
      <c r="C269" s="40"/>
      <c r="D269" s="40"/>
      <c r="E269" s="41"/>
      <c r="F269" s="40"/>
      <c r="G269" s="41"/>
      <c r="H269" s="40"/>
      <c r="I269" s="41"/>
      <c r="J269" s="40"/>
      <c r="K269" s="41"/>
      <c r="L269" s="40"/>
      <c r="M269" s="41"/>
      <c r="N269" s="40"/>
      <c r="O269" s="41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46"/>
    </row>
    <row r="270" ht="15.75" customHeight="1">
      <c r="A270" s="36"/>
      <c r="B270" s="36"/>
      <c r="C270" s="40"/>
      <c r="D270" s="40"/>
      <c r="E270" s="41"/>
      <c r="F270" s="40"/>
      <c r="G270" s="41"/>
      <c r="H270" s="40"/>
      <c r="I270" s="41"/>
      <c r="J270" s="40"/>
      <c r="K270" s="41"/>
      <c r="L270" s="40"/>
      <c r="M270" s="41"/>
      <c r="N270" s="40"/>
      <c r="O270" s="41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46"/>
    </row>
    <row r="271" ht="15.75" customHeight="1">
      <c r="A271" s="36"/>
      <c r="B271" s="36"/>
      <c r="C271" s="40"/>
      <c r="D271" s="40"/>
      <c r="E271" s="41"/>
      <c r="F271" s="40"/>
      <c r="G271" s="41"/>
      <c r="H271" s="40"/>
      <c r="I271" s="41"/>
      <c r="J271" s="40"/>
      <c r="K271" s="41"/>
      <c r="L271" s="40"/>
      <c r="M271" s="41"/>
      <c r="N271" s="40"/>
      <c r="O271" s="41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46"/>
    </row>
    <row r="272" ht="15.75" customHeight="1">
      <c r="A272" s="36"/>
      <c r="B272" s="36"/>
      <c r="C272" s="40"/>
      <c r="D272" s="40"/>
      <c r="E272" s="41"/>
      <c r="F272" s="40"/>
      <c r="G272" s="41"/>
      <c r="H272" s="40"/>
      <c r="I272" s="41"/>
      <c r="J272" s="40"/>
      <c r="K272" s="41"/>
      <c r="L272" s="40"/>
      <c r="M272" s="41"/>
      <c r="N272" s="40"/>
      <c r="O272" s="41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46"/>
    </row>
    <row r="273" ht="15.75" customHeight="1">
      <c r="A273" s="36"/>
      <c r="B273" s="36"/>
      <c r="C273" s="40"/>
      <c r="D273" s="40"/>
      <c r="E273" s="41"/>
      <c r="F273" s="40"/>
      <c r="G273" s="41"/>
      <c r="H273" s="40"/>
      <c r="I273" s="41"/>
      <c r="J273" s="40"/>
      <c r="K273" s="41"/>
      <c r="L273" s="40"/>
      <c r="M273" s="41"/>
      <c r="N273" s="40"/>
      <c r="O273" s="41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46"/>
    </row>
    <row r="274" ht="15.75" customHeight="1">
      <c r="A274" s="36"/>
      <c r="B274" s="36"/>
      <c r="C274" s="40"/>
      <c r="D274" s="40"/>
      <c r="E274" s="41"/>
      <c r="F274" s="40"/>
      <c r="G274" s="41"/>
      <c r="H274" s="40"/>
      <c r="I274" s="41"/>
      <c r="J274" s="40"/>
      <c r="K274" s="41"/>
      <c r="L274" s="40"/>
      <c r="M274" s="41"/>
      <c r="N274" s="40"/>
      <c r="O274" s="41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46"/>
    </row>
    <row r="275" ht="15.75" customHeight="1">
      <c r="A275" s="36"/>
      <c r="B275" s="36"/>
      <c r="C275" s="40"/>
      <c r="D275" s="40"/>
      <c r="E275" s="41"/>
      <c r="F275" s="40"/>
      <c r="G275" s="41"/>
      <c r="H275" s="40"/>
      <c r="I275" s="41"/>
      <c r="J275" s="40"/>
      <c r="K275" s="41"/>
      <c r="L275" s="40"/>
      <c r="M275" s="41"/>
      <c r="N275" s="40"/>
      <c r="O275" s="41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46"/>
    </row>
    <row r="276" ht="15.75" customHeight="1">
      <c r="A276" s="36"/>
      <c r="B276" s="36"/>
      <c r="C276" s="40"/>
      <c r="D276" s="40"/>
      <c r="E276" s="41"/>
      <c r="F276" s="40"/>
      <c r="G276" s="41"/>
      <c r="H276" s="40"/>
      <c r="I276" s="41"/>
      <c r="J276" s="40"/>
      <c r="K276" s="41"/>
      <c r="L276" s="40"/>
      <c r="M276" s="41"/>
      <c r="N276" s="40"/>
      <c r="O276" s="41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46"/>
    </row>
    <row r="277" ht="15.75" customHeight="1">
      <c r="A277" s="36"/>
      <c r="B277" s="36"/>
      <c r="C277" s="40"/>
      <c r="D277" s="40"/>
      <c r="E277" s="41"/>
      <c r="F277" s="40"/>
      <c r="G277" s="41"/>
      <c r="H277" s="40"/>
      <c r="I277" s="41"/>
      <c r="J277" s="40"/>
      <c r="K277" s="41"/>
      <c r="L277" s="40"/>
      <c r="M277" s="41"/>
      <c r="N277" s="40"/>
      <c r="O277" s="41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46"/>
    </row>
    <row r="278" ht="15.75" customHeight="1">
      <c r="A278" s="36"/>
      <c r="B278" s="36"/>
      <c r="C278" s="40"/>
      <c r="D278" s="40"/>
      <c r="E278" s="41"/>
      <c r="F278" s="40"/>
      <c r="G278" s="41"/>
      <c r="H278" s="40"/>
      <c r="I278" s="41"/>
      <c r="J278" s="40"/>
      <c r="K278" s="41"/>
      <c r="L278" s="40"/>
      <c r="M278" s="41"/>
      <c r="N278" s="40"/>
      <c r="O278" s="41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46"/>
    </row>
    <row r="279" ht="15.75" customHeight="1">
      <c r="A279" s="36"/>
      <c r="B279" s="36"/>
      <c r="C279" s="40"/>
      <c r="D279" s="40"/>
      <c r="E279" s="41"/>
      <c r="F279" s="40"/>
      <c r="G279" s="41"/>
      <c r="H279" s="40"/>
      <c r="I279" s="41"/>
      <c r="J279" s="40"/>
      <c r="K279" s="41"/>
      <c r="L279" s="40"/>
      <c r="M279" s="41"/>
      <c r="N279" s="40"/>
      <c r="O279" s="41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46"/>
    </row>
    <row r="280" ht="15.75" customHeight="1">
      <c r="A280" s="36"/>
      <c r="B280" s="36"/>
      <c r="C280" s="40"/>
      <c r="D280" s="40"/>
      <c r="E280" s="41"/>
      <c r="F280" s="40"/>
      <c r="G280" s="41"/>
      <c r="H280" s="40"/>
      <c r="I280" s="41"/>
      <c r="J280" s="40"/>
      <c r="K280" s="41"/>
      <c r="L280" s="40"/>
      <c r="M280" s="41"/>
      <c r="N280" s="40"/>
      <c r="O280" s="41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46"/>
    </row>
    <row r="281" ht="15.75" customHeight="1">
      <c r="A281" s="36"/>
      <c r="B281" s="36"/>
      <c r="C281" s="40"/>
      <c r="D281" s="40"/>
      <c r="E281" s="41"/>
      <c r="F281" s="40"/>
      <c r="G281" s="41"/>
      <c r="H281" s="40"/>
      <c r="I281" s="41"/>
      <c r="J281" s="40"/>
      <c r="K281" s="41"/>
      <c r="L281" s="40"/>
      <c r="M281" s="41"/>
      <c r="N281" s="40"/>
      <c r="O281" s="41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46"/>
    </row>
    <row r="282" ht="15.75" customHeight="1">
      <c r="A282" s="36"/>
      <c r="B282" s="36"/>
      <c r="C282" s="40"/>
      <c r="D282" s="40"/>
      <c r="E282" s="41"/>
      <c r="F282" s="40"/>
      <c r="G282" s="41"/>
      <c r="H282" s="40"/>
      <c r="I282" s="41"/>
      <c r="J282" s="40"/>
      <c r="K282" s="41"/>
      <c r="L282" s="40"/>
      <c r="M282" s="41"/>
      <c r="N282" s="40"/>
      <c r="O282" s="41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46"/>
    </row>
    <row r="283" ht="15.75" customHeight="1">
      <c r="A283" s="36"/>
      <c r="B283" s="36"/>
      <c r="C283" s="40"/>
      <c r="D283" s="40"/>
      <c r="E283" s="41"/>
      <c r="F283" s="40"/>
      <c r="G283" s="41"/>
      <c r="H283" s="40"/>
      <c r="I283" s="41"/>
      <c r="J283" s="40"/>
      <c r="K283" s="41"/>
      <c r="L283" s="40"/>
      <c r="M283" s="41"/>
      <c r="N283" s="40"/>
      <c r="O283" s="41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46"/>
    </row>
    <row r="284" ht="15.75" customHeight="1">
      <c r="A284" s="36"/>
      <c r="B284" s="36"/>
      <c r="C284" s="40"/>
      <c r="D284" s="40"/>
      <c r="E284" s="41"/>
      <c r="F284" s="40"/>
      <c r="G284" s="41"/>
      <c r="H284" s="40"/>
      <c r="I284" s="41"/>
      <c r="J284" s="40"/>
      <c r="K284" s="41"/>
      <c r="L284" s="40"/>
      <c r="M284" s="41"/>
      <c r="N284" s="40"/>
      <c r="O284" s="41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46"/>
    </row>
    <row r="285" ht="15.75" customHeight="1">
      <c r="A285" s="36"/>
      <c r="B285" s="36"/>
      <c r="C285" s="40"/>
      <c r="D285" s="40"/>
      <c r="E285" s="41"/>
      <c r="F285" s="40"/>
      <c r="G285" s="41"/>
      <c r="H285" s="40"/>
      <c r="I285" s="41"/>
      <c r="J285" s="40"/>
      <c r="K285" s="41"/>
      <c r="L285" s="40"/>
      <c r="M285" s="41"/>
      <c r="N285" s="40"/>
      <c r="O285" s="41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46"/>
    </row>
    <row r="286" ht="15.75" customHeight="1">
      <c r="A286" s="36"/>
      <c r="B286" s="36"/>
      <c r="C286" s="40"/>
      <c r="D286" s="40"/>
      <c r="E286" s="41"/>
      <c r="F286" s="40"/>
      <c r="G286" s="41"/>
      <c r="H286" s="40"/>
      <c r="I286" s="41"/>
      <c r="J286" s="40"/>
      <c r="K286" s="41"/>
      <c r="L286" s="40"/>
      <c r="M286" s="41"/>
      <c r="N286" s="40"/>
      <c r="O286" s="41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46"/>
    </row>
    <row r="287" ht="15.75" customHeight="1">
      <c r="A287" s="36"/>
      <c r="B287" s="36"/>
      <c r="C287" s="40"/>
      <c r="D287" s="40"/>
      <c r="E287" s="41"/>
      <c r="F287" s="40"/>
      <c r="G287" s="41"/>
      <c r="H287" s="40"/>
      <c r="I287" s="41"/>
      <c r="J287" s="40"/>
      <c r="K287" s="41"/>
      <c r="L287" s="40"/>
      <c r="M287" s="41"/>
      <c r="N287" s="40"/>
      <c r="O287" s="41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46"/>
    </row>
    <row r="288" ht="15.75" customHeight="1">
      <c r="A288" s="36"/>
      <c r="B288" s="36"/>
      <c r="C288" s="40"/>
      <c r="D288" s="40"/>
      <c r="E288" s="41"/>
      <c r="F288" s="40"/>
      <c r="G288" s="41"/>
      <c r="H288" s="40"/>
      <c r="I288" s="41"/>
      <c r="J288" s="40"/>
      <c r="K288" s="41"/>
      <c r="L288" s="40"/>
      <c r="M288" s="41"/>
      <c r="N288" s="40"/>
      <c r="O288" s="41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46"/>
    </row>
    <row r="289" ht="15.75" customHeight="1">
      <c r="A289" s="36"/>
      <c r="B289" s="36"/>
      <c r="C289" s="40"/>
      <c r="D289" s="40"/>
      <c r="E289" s="41"/>
      <c r="F289" s="40"/>
      <c r="G289" s="41"/>
      <c r="H289" s="40"/>
      <c r="I289" s="41"/>
      <c r="J289" s="40"/>
      <c r="K289" s="41"/>
      <c r="L289" s="40"/>
      <c r="M289" s="41"/>
      <c r="N289" s="40"/>
      <c r="O289" s="41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46"/>
    </row>
    <row r="290" ht="15.75" customHeight="1">
      <c r="A290" s="36"/>
      <c r="B290" s="36"/>
      <c r="C290" s="40"/>
      <c r="D290" s="40"/>
      <c r="E290" s="41"/>
      <c r="F290" s="40"/>
      <c r="G290" s="41"/>
      <c r="H290" s="40"/>
      <c r="I290" s="41"/>
      <c r="J290" s="40"/>
      <c r="K290" s="41"/>
      <c r="L290" s="40"/>
      <c r="M290" s="41"/>
      <c r="N290" s="40"/>
      <c r="O290" s="41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46"/>
    </row>
    <row r="291" ht="15.75" customHeight="1">
      <c r="A291" s="36"/>
      <c r="B291" s="36"/>
      <c r="C291" s="40"/>
      <c r="D291" s="40"/>
      <c r="E291" s="41"/>
      <c r="F291" s="40"/>
      <c r="G291" s="41"/>
      <c r="H291" s="40"/>
      <c r="I291" s="41"/>
      <c r="J291" s="40"/>
      <c r="K291" s="41"/>
      <c r="L291" s="40"/>
      <c r="M291" s="41"/>
      <c r="N291" s="40"/>
      <c r="O291" s="41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46"/>
    </row>
    <row r="292" ht="15.75" customHeight="1">
      <c r="A292" s="36"/>
      <c r="B292" s="36"/>
      <c r="C292" s="40"/>
      <c r="D292" s="40"/>
      <c r="E292" s="41"/>
      <c r="F292" s="40"/>
      <c r="G292" s="41"/>
      <c r="H292" s="40"/>
      <c r="I292" s="41"/>
      <c r="J292" s="40"/>
      <c r="K292" s="41"/>
      <c r="L292" s="40"/>
      <c r="M292" s="41"/>
      <c r="N292" s="40"/>
      <c r="O292" s="41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46"/>
    </row>
    <row r="293" ht="15.75" customHeight="1">
      <c r="A293" s="36"/>
      <c r="B293" s="36"/>
      <c r="C293" s="40"/>
      <c r="D293" s="40"/>
      <c r="E293" s="41"/>
      <c r="F293" s="40"/>
      <c r="G293" s="41"/>
      <c r="H293" s="40"/>
      <c r="I293" s="41"/>
      <c r="J293" s="40"/>
      <c r="K293" s="41"/>
      <c r="L293" s="40"/>
      <c r="M293" s="41"/>
      <c r="N293" s="40"/>
      <c r="O293" s="41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46"/>
    </row>
    <row r="294" ht="15.75" customHeight="1">
      <c r="A294" s="36"/>
      <c r="B294" s="36"/>
      <c r="C294" s="40"/>
      <c r="D294" s="40"/>
      <c r="E294" s="41"/>
      <c r="F294" s="40"/>
      <c r="G294" s="41"/>
      <c r="H294" s="40"/>
      <c r="I294" s="41"/>
      <c r="J294" s="40"/>
      <c r="K294" s="41"/>
      <c r="L294" s="40"/>
      <c r="M294" s="41"/>
      <c r="N294" s="40"/>
      <c r="O294" s="41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46"/>
    </row>
    <row r="295" ht="15.75" customHeight="1">
      <c r="A295" s="36"/>
      <c r="B295" s="36"/>
      <c r="C295" s="40"/>
      <c r="D295" s="40"/>
      <c r="E295" s="41"/>
      <c r="F295" s="40"/>
      <c r="G295" s="41"/>
      <c r="H295" s="40"/>
      <c r="I295" s="41"/>
      <c r="J295" s="40"/>
      <c r="K295" s="41"/>
      <c r="L295" s="40"/>
      <c r="M295" s="41"/>
      <c r="N295" s="40"/>
      <c r="O295" s="41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46"/>
    </row>
    <row r="296" ht="15.75" customHeight="1">
      <c r="A296" s="36"/>
      <c r="B296" s="36"/>
      <c r="C296" s="40"/>
      <c r="D296" s="40"/>
      <c r="E296" s="41"/>
      <c r="F296" s="40"/>
      <c r="G296" s="41"/>
      <c r="H296" s="40"/>
      <c r="I296" s="41"/>
      <c r="J296" s="40"/>
      <c r="K296" s="41"/>
      <c r="L296" s="40"/>
      <c r="M296" s="41"/>
      <c r="N296" s="40"/>
      <c r="O296" s="41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46"/>
    </row>
    <row r="297" ht="15.75" customHeight="1">
      <c r="A297" s="36"/>
      <c r="B297" s="36"/>
      <c r="C297" s="40"/>
      <c r="D297" s="40"/>
      <c r="E297" s="41"/>
      <c r="F297" s="40"/>
      <c r="G297" s="41"/>
      <c r="H297" s="40"/>
      <c r="I297" s="41"/>
      <c r="J297" s="40"/>
      <c r="K297" s="41"/>
      <c r="L297" s="40"/>
      <c r="M297" s="41"/>
      <c r="N297" s="40"/>
      <c r="O297" s="41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46"/>
    </row>
    <row r="298" ht="15.75" customHeight="1">
      <c r="A298" s="36"/>
      <c r="B298" s="36"/>
      <c r="C298" s="40"/>
      <c r="D298" s="40"/>
      <c r="E298" s="41"/>
      <c r="F298" s="40"/>
      <c r="G298" s="41"/>
      <c r="H298" s="40"/>
      <c r="I298" s="41"/>
      <c r="J298" s="40"/>
      <c r="K298" s="41"/>
      <c r="L298" s="40"/>
      <c r="M298" s="41"/>
      <c r="N298" s="40"/>
      <c r="O298" s="41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46"/>
    </row>
    <row r="299" ht="15.75" customHeight="1">
      <c r="A299" s="36"/>
      <c r="B299" s="36"/>
      <c r="C299" s="40"/>
      <c r="D299" s="40"/>
      <c r="E299" s="41"/>
      <c r="F299" s="40"/>
      <c r="G299" s="41"/>
      <c r="H299" s="40"/>
      <c r="I299" s="41"/>
      <c r="J299" s="40"/>
      <c r="K299" s="41"/>
      <c r="L299" s="40"/>
      <c r="M299" s="41"/>
      <c r="N299" s="40"/>
      <c r="O299" s="41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46"/>
    </row>
    <row r="300" ht="15.75" customHeight="1">
      <c r="A300" s="36"/>
      <c r="B300" s="36"/>
      <c r="C300" s="40"/>
      <c r="D300" s="40"/>
      <c r="E300" s="41"/>
      <c r="F300" s="40"/>
      <c r="G300" s="41"/>
      <c r="H300" s="40"/>
      <c r="I300" s="41"/>
      <c r="J300" s="40"/>
      <c r="K300" s="41"/>
      <c r="L300" s="40"/>
      <c r="M300" s="41"/>
      <c r="N300" s="40"/>
      <c r="O300" s="41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46"/>
    </row>
    <row r="301" ht="15.75" customHeight="1">
      <c r="A301" s="36"/>
      <c r="B301" s="36"/>
      <c r="C301" s="40"/>
      <c r="D301" s="40"/>
      <c r="E301" s="41"/>
      <c r="F301" s="40"/>
      <c r="G301" s="41"/>
      <c r="H301" s="40"/>
      <c r="I301" s="41"/>
      <c r="J301" s="40"/>
      <c r="K301" s="41"/>
      <c r="L301" s="40"/>
      <c r="M301" s="41"/>
      <c r="N301" s="40"/>
      <c r="O301" s="41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46"/>
    </row>
    <row r="302" ht="15.75" customHeight="1">
      <c r="A302" s="36"/>
      <c r="B302" s="36"/>
      <c r="C302" s="40"/>
      <c r="D302" s="40"/>
      <c r="E302" s="41"/>
      <c r="F302" s="40"/>
      <c r="G302" s="41"/>
      <c r="H302" s="40"/>
      <c r="I302" s="41"/>
      <c r="J302" s="40"/>
      <c r="K302" s="41"/>
      <c r="L302" s="40"/>
      <c r="M302" s="41"/>
      <c r="N302" s="40"/>
      <c r="O302" s="41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46"/>
    </row>
    <row r="303" ht="15.75" customHeight="1">
      <c r="A303" s="36"/>
      <c r="B303" s="36"/>
      <c r="C303" s="40"/>
      <c r="D303" s="40"/>
      <c r="E303" s="41"/>
      <c r="F303" s="40"/>
      <c r="G303" s="41"/>
      <c r="H303" s="40"/>
      <c r="I303" s="41"/>
      <c r="J303" s="40"/>
      <c r="K303" s="41"/>
      <c r="L303" s="40"/>
      <c r="M303" s="41"/>
      <c r="N303" s="40"/>
      <c r="O303" s="41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46"/>
    </row>
    <row r="304" ht="15.75" customHeight="1">
      <c r="A304" s="36"/>
      <c r="B304" s="36"/>
      <c r="C304" s="40"/>
      <c r="D304" s="40"/>
      <c r="E304" s="41"/>
      <c r="F304" s="40"/>
      <c r="G304" s="41"/>
      <c r="H304" s="40"/>
      <c r="I304" s="41"/>
      <c r="J304" s="40"/>
      <c r="K304" s="41"/>
      <c r="L304" s="40"/>
      <c r="M304" s="41"/>
      <c r="N304" s="40"/>
      <c r="O304" s="41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46"/>
    </row>
    <row r="305" ht="15.75" customHeight="1">
      <c r="A305" s="36"/>
      <c r="B305" s="36"/>
      <c r="C305" s="40"/>
      <c r="D305" s="40"/>
      <c r="E305" s="41"/>
      <c r="F305" s="40"/>
      <c r="G305" s="41"/>
      <c r="H305" s="40"/>
      <c r="I305" s="41"/>
      <c r="J305" s="40"/>
      <c r="K305" s="41"/>
      <c r="L305" s="40"/>
      <c r="M305" s="41"/>
      <c r="N305" s="40"/>
      <c r="O305" s="41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46"/>
    </row>
    <row r="306" ht="15.75" customHeight="1">
      <c r="A306" s="36"/>
      <c r="B306" s="36"/>
      <c r="C306" s="40"/>
      <c r="D306" s="40"/>
      <c r="E306" s="41"/>
      <c r="F306" s="40"/>
      <c r="G306" s="41"/>
      <c r="H306" s="40"/>
      <c r="I306" s="41"/>
      <c r="J306" s="40"/>
      <c r="K306" s="41"/>
      <c r="L306" s="40"/>
      <c r="M306" s="41"/>
      <c r="N306" s="40"/>
      <c r="O306" s="41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46"/>
    </row>
    <row r="307" ht="15.75" customHeight="1">
      <c r="A307" s="36"/>
      <c r="B307" s="36"/>
      <c r="C307" s="40"/>
      <c r="D307" s="40"/>
      <c r="E307" s="41"/>
      <c r="F307" s="40"/>
      <c r="G307" s="41"/>
      <c r="H307" s="40"/>
      <c r="I307" s="41"/>
      <c r="J307" s="40"/>
      <c r="K307" s="41"/>
      <c r="L307" s="40"/>
      <c r="M307" s="41"/>
      <c r="N307" s="40"/>
      <c r="O307" s="41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46"/>
    </row>
    <row r="308" ht="15.75" customHeight="1">
      <c r="A308" s="36"/>
      <c r="B308" s="36"/>
      <c r="C308" s="40"/>
      <c r="D308" s="40"/>
      <c r="E308" s="41"/>
      <c r="F308" s="40"/>
      <c r="G308" s="41"/>
      <c r="H308" s="40"/>
      <c r="I308" s="41"/>
      <c r="J308" s="40"/>
      <c r="K308" s="41"/>
      <c r="L308" s="40"/>
      <c r="M308" s="41"/>
      <c r="N308" s="40"/>
      <c r="O308" s="41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46"/>
    </row>
    <row r="309" ht="15.75" customHeight="1">
      <c r="A309" s="36"/>
      <c r="B309" s="36"/>
      <c r="C309" s="40"/>
      <c r="D309" s="40"/>
      <c r="E309" s="41"/>
      <c r="F309" s="40"/>
      <c r="G309" s="41"/>
      <c r="H309" s="40"/>
      <c r="I309" s="41"/>
      <c r="J309" s="40"/>
      <c r="K309" s="41"/>
      <c r="L309" s="40"/>
      <c r="M309" s="41"/>
      <c r="N309" s="40"/>
      <c r="O309" s="41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46"/>
    </row>
    <row r="310" ht="15.75" customHeight="1">
      <c r="A310" s="36"/>
      <c r="B310" s="36"/>
      <c r="C310" s="40"/>
      <c r="D310" s="40"/>
      <c r="E310" s="41"/>
      <c r="F310" s="40"/>
      <c r="G310" s="41"/>
      <c r="H310" s="40"/>
      <c r="I310" s="41"/>
      <c r="J310" s="40"/>
      <c r="K310" s="41"/>
      <c r="L310" s="40"/>
      <c r="M310" s="41"/>
      <c r="N310" s="40"/>
      <c r="O310" s="41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46"/>
    </row>
    <row r="311" ht="15.75" customHeight="1">
      <c r="A311" s="36"/>
      <c r="B311" s="36"/>
      <c r="C311" s="40"/>
      <c r="D311" s="40"/>
      <c r="E311" s="41"/>
      <c r="F311" s="40"/>
      <c r="G311" s="41"/>
      <c r="H311" s="40"/>
      <c r="I311" s="41"/>
      <c r="J311" s="40"/>
      <c r="K311" s="41"/>
      <c r="L311" s="40"/>
      <c r="M311" s="41"/>
      <c r="N311" s="40"/>
      <c r="O311" s="41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46"/>
    </row>
    <row r="312" ht="15.75" customHeight="1">
      <c r="A312" s="36"/>
      <c r="B312" s="36"/>
      <c r="C312" s="40"/>
      <c r="D312" s="40"/>
      <c r="E312" s="41"/>
      <c r="F312" s="40"/>
      <c r="G312" s="41"/>
      <c r="H312" s="40"/>
      <c r="I312" s="41"/>
      <c r="J312" s="40"/>
      <c r="K312" s="41"/>
      <c r="L312" s="40"/>
      <c r="M312" s="41"/>
      <c r="N312" s="40"/>
      <c r="O312" s="41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46"/>
    </row>
    <row r="313" ht="15.75" customHeight="1">
      <c r="A313" s="36"/>
      <c r="B313" s="36"/>
      <c r="C313" s="40"/>
      <c r="D313" s="40"/>
      <c r="E313" s="41"/>
      <c r="F313" s="40"/>
      <c r="G313" s="41"/>
      <c r="H313" s="40"/>
      <c r="I313" s="41"/>
      <c r="J313" s="40"/>
      <c r="K313" s="41"/>
      <c r="L313" s="40"/>
      <c r="M313" s="41"/>
      <c r="N313" s="40"/>
      <c r="O313" s="41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46"/>
    </row>
    <row r="314" ht="15.75" customHeight="1">
      <c r="A314" s="36"/>
      <c r="B314" s="36"/>
      <c r="C314" s="40"/>
      <c r="D314" s="40"/>
      <c r="E314" s="41"/>
      <c r="F314" s="40"/>
      <c r="G314" s="41"/>
      <c r="H314" s="40"/>
      <c r="I314" s="41"/>
      <c r="J314" s="40"/>
      <c r="K314" s="41"/>
      <c r="L314" s="40"/>
      <c r="M314" s="41"/>
      <c r="N314" s="40"/>
      <c r="O314" s="41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46"/>
    </row>
    <row r="315" ht="15.75" customHeight="1">
      <c r="A315" s="36"/>
      <c r="B315" s="36"/>
      <c r="C315" s="40"/>
      <c r="D315" s="40"/>
      <c r="E315" s="41"/>
      <c r="F315" s="40"/>
      <c r="G315" s="41"/>
      <c r="H315" s="40"/>
      <c r="I315" s="41"/>
      <c r="J315" s="40"/>
      <c r="K315" s="41"/>
      <c r="L315" s="40"/>
      <c r="M315" s="41"/>
      <c r="N315" s="40"/>
      <c r="O315" s="41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46"/>
    </row>
    <row r="316" ht="15.75" customHeight="1">
      <c r="A316" s="36"/>
      <c r="B316" s="36"/>
      <c r="C316" s="40"/>
      <c r="D316" s="40"/>
      <c r="E316" s="41"/>
      <c r="F316" s="40"/>
      <c r="G316" s="41"/>
      <c r="H316" s="40"/>
      <c r="I316" s="41"/>
      <c r="J316" s="40"/>
      <c r="K316" s="41"/>
      <c r="L316" s="40"/>
      <c r="M316" s="41"/>
      <c r="N316" s="40"/>
      <c r="O316" s="41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46"/>
    </row>
    <row r="317" ht="15.75" customHeight="1">
      <c r="A317" s="36"/>
      <c r="B317" s="36"/>
      <c r="C317" s="40"/>
      <c r="D317" s="40"/>
      <c r="E317" s="41"/>
      <c r="F317" s="40"/>
      <c r="G317" s="41"/>
      <c r="H317" s="40"/>
      <c r="I317" s="41"/>
      <c r="J317" s="40"/>
      <c r="K317" s="41"/>
      <c r="L317" s="40"/>
      <c r="M317" s="41"/>
      <c r="N317" s="40"/>
      <c r="O317" s="41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46"/>
    </row>
    <row r="318" ht="15.75" customHeight="1">
      <c r="A318" s="36"/>
      <c r="B318" s="36"/>
      <c r="C318" s="40"/>
      <c r="D318" s="40"/>
      <c r="E318" s="41"/>
      <c r="F318" s="40"/>
      <c r="G318" s="41"/>
      <c r="H318" s="40"/>
      <c r="I318" s="41"/>
      <c r="J318" s="40"/>
      <c r="K318" s="41"/>
      <c r="L318" s="40"/>
      <c r="M318" s="41"/>
      <c r="N318" s="40"/>
      <c r="O318" s="41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46"/>
    </row>
    <row r="319" ht="15.75" customHeight="1">
      <c r="A319" s="36"/>
      <c r="B319" s="36"/>
      <c r="C319" s="40"/>
      <c r="D319" s="40"/>
      <c r="E319" s="41"/>
      <c r="F319" s="40"/>
      <c r="G319" s="41"/>
      <c r="H319" s="40"/>
      <c r="I319" s="41"/>
      <c r="J319" s="40"/>
      <c r="K319" s="41"/>
      <c r="L319" s="40"/>
      <c r="M319" s="41"/>
      <c r="N319" s="40"/>
      <c r="O319" s="41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46"/>
    </row>
    <row r="320" ht="15.75" customHeight="1">
      <c r="A320" s="36"/>
      <c r="B320" s="36"/>
      <c r="C320" s="40"/>
      <c r="D320" s="40"/>
      <c r="E320" s="41"/>
      <c r="F320" s="40"/>
      <c r="G320" s="41"/>
      <c r="H320" s="40"/>
      <c r="I320" s="41"/>
      <c r="J320" s="40"/>
      <c r="K320" s="41"/>
      <c r="L320" s="40"/>
      <c r="M320" s="41"/>
      <c r="N320" s="40"/>
      <c r="O320" s="41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46"/>
    </row>
    <row r="321" ht="15.75" customHeight="1">
      <c r="A321" s="36"/>
      <c r="B321" s="36"/>
      <c r="C321" s="40"/>
      <c r="D321" s="40"/>
      <c r="E321" s="41"/>
      <c r="F321" s="40"/>
      <c r="G321" s="41"/>
      <c r="H321" s="40"/>
      <c r="I321" s="41"/>
      <c r="J321" s="40"/>
      <c r="K321" s="41"/>
      <c r="L321" s="40"/>
      <c r="M321" s="41"/>
      <c r="N321" s="40"/>
      <c r="O321" s="41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46"/>
    </row>
    <row r="322" ht="15.75" customHeight="1">
      <c r="A322" s="36"/>
      <c r="B322" s="36"/>
      <c r="C322" s="40"/>
      <c r="D322" s="40"/>
      <c r="E322" s="41"/>
      <c r="F322" s="40"/>
      <c r="G322" s="41"/>
      <c r="H322" s="40"/>
      <c r="I322" s="41"/>
      <c r="J322" s="40"/>
      <c r="K322" s="41"/>
      <c r="L322" s="40"/>
      <c r="M322" s="41"/>
      <c r="N322" s="40"/>
      <c r="O322" s="41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46"/>
    </row>
    <row r="323" ht="15.75" customHeight="1">
      <c r="A323" s="36"/>
      <c r="B323" s="36"/>
      <c r="C323" s="40"/>
      <c r="D323" s="40"/>
      <c r="E323" s="41"/>
      <c r="F323" s="40"/>
      <c r="G323" s="41"/>
      <c r="H323" s="40"/>
      <c r="I323" s="41"/>
      <c r="J323" s="40"/>
      <c r="K323" s="41"/>
      <c r="L323" s="40"/>
      <c r="M323" s="41"/>
      <c r="N323" s="40"/>
      <c r="O323" s="41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46"/>
    </row>
    <row r="324" ht="15.75" customHeight="1">
      <c r="A324" s="36"/>
      <c r="B324" s="36"/>
      <c r="C324" s="40"/>
      <c r="D324" s="40"/>
      <c r="E324" s="41"/>
      <c r="F324" s="40"/>
      <c r="G324" s="41"/>
      <c r="H324" s="40"/>
      <c r="I324" s="41"/>
      <c r="J324" s="40"/>
      <c r="K324" s="41"/>
      <c r="L324" s="40"/>
      <c r="M324" s="41"/>
      <c r="N324" s="40"/>
      <c r="O324" s="41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46"/>
    </row>
    <row r="325" ht="15.75" customHeight="1">
      <c r="A325" s="36"/>
      <c r="B325" s="36"/>
      <c r="C325" s="40"/>
      <c r="D325" s="40"/>
      <c r="E325" s="41"/>
      <c r="F325" s="40"/>
      <c r="G325" s="41"/>
      <c r="H325" s="40"/>
      <c r="I325" s="41"/>
      <c r="J325" s="40"/>
      <c r="K325" s="41"/>
      <c r="L325" s="40"/>
      <c r="M325" s="41"/>
      <c r="N325" s="40"/>
      <c r="O325" s="41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46"/>
    </row>
    <row r="326" ht="15.75" customHeight="1">
      <c r="A326" s="36"/>
      <c r="B326" s="36"/>
      <c r="C326" s="40"/>
      <c r="D326" s="40"/>
      <c r="E326" s="41"/>
      <c r="F326" s="40"/>
      <c r="G326" s="41"/>
      <c r="H326" s="40"/>
      <c r="I326" s="41"/>
      <c r="J326" s="40"/>
      <c r="K326" s="41"/>
      <c r="L326" s="40"/>
      <c r="M326" s="41"/>
      <c r="N326" s="40"/>
      <c r="O326" s="41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46"/>
    </row>
    <row r="327" ht="15.75" customHeight="1">
      <c r="A327" s="36"/>
      <c r="B327" s="36"/>
      <c r="C327" s="40"/>
      <c r="D327" s="40"/>
      <c r="E327" s="41"/>
      <c r="F327" s="40"/>
      <c r="G327" s="41"/>
      <c r="H327" s="40"/>
      <c r="I327" s="41"/>
      <c r="J327" s="40"/>
      <c r="K327" s="41"/>
      <c r="L327" s="40"/>
      <c r="M327" s="41"/>
      <c r="N327" s="40"/>
      <c r="O327" s="41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46"/>
    </row>
    <row r="328" ht="15.75" customHeight="1">
      <c r="A328" s="36"/>
      <c r="B328" s="36"/>
      <c r="C328" s="40"/>
      <c r="D328" s="40"/>
      <c r="E328" s="41"/>
      <c r="F328" s="40"/>
      <c r="G328" s="41"/>
      <c r="H328" s="40"/>
      <c r="I328" s="41"/>
      <c r="J328" s="40"/>
      <c r="K328" s="41"/>
      <c r="L328" s="40"/>
      <c r="M328" s="41"/>
      <c r="N328" s="40"/>
      <c r="O328" s="41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46"/>
    </row>
    <row r="329" ht="15.75" customHeight="1">
      <c r="A329" s="36"/>
      <c r="B329" s="36"/>
      <c r="C329" s="40"/>
      <c r="D329" s="40"/>
      <c r="E329" s="41"/>
      <c r="F329" s="40"/>
      <c r="G329" s="41"/>
      <c r="H329" s="40"/>
      <c r="I329" s="41"/>
      <c r="J329" s="40"/>
      <c r="K329" s="41"/>
      <c r="L329" s="40"/>
      <c r="M329" s="41"/>
      <c r="N329" s="40"/>
      <c r="O329" s="41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46"/>
    </row>
    <row r="330" ht="15.75" customHeight="1">
      <c r="A330" s="36"/>
      <c r="B330" s="36"/>
      <c r="C330" s="40"/>
      <c r="D330" s="40"/>
      <c r="E330" s="41"/>
      <c r="F330" s="40"/>
      <c r="G330" s="41"/>
      <c r="H330" s="40"/>
      <c r="I330" s="41"/>
      <c r="J330" s="40"/>
      <c r="K330" s="41"/>
      <c r="L330" s="40"/>
      <c r="M330" s="41"/>
      <c r="N330" s="40"/>
      <c r="O330" s="41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46"/>
    </row>
    <row r="331" ht="15.75" customHeight="1">
      <c r="A331" s="36"/>
      <c r="B331" s="36"/>
      <c r="C331" s="40"/>
      <c r="D331" s="40"/>
      <c r="E331" s="41"/>
      <c r="F331" s="40"/>
      <c r="G331" s="41"/>
      <c r="H331" s="40"/>
      <c r="I331" s="41"/>
      <c r="J331" s="40"/>
      <c r="K331" s="41"/>
      <c r="L331" s="40"/>
      <c r="M331" s="41"/>
      <c r="N331" s="40"/>
      <c r="O331" s="41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46"/>
    </row>
    <row r="332" ht="15.75" customHeight="1">
      <c r="A332" s="36"/>
      <c r="B332" s="36"/>
      <c r="C332" s="40"/>
      <c r="D332" s="40"/>
      <c r="E332" s="41"/>
      <c r="F332" s="40"/>
      <c r="G332" s="41"/>
      <c r="H332" s="40"/>
      <c r="I332" s="41"/>
      <c r="J332" s="40"/>
      <c r="K332" s="41"/>
      <c r="L332" s="40"/>
      <c r="M332" s="41"/>
      <c r="N332" s="40"/>
      <c r="O332" s="41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46"/>
    </row>
    <row r="333" ht="15.75" customHeight="1">
      <c r="A333" s="36"/>
      <c r="B333" s="36"/>
      <c r="C333" s="40"/>
      <c r="D333" s="40"/>
      <c r="E333" s="41"/>
      <c r="F333" s="40"/>
      <c r="G333" s="41"/>
      <c r="H333" s="40"/>
      <c r="I333" s="41"/>
      <c r="J333" s="40"/>
      <c r="K333" s="41"/>
      <c r="L333" s="40"/>
      <c r="M333" s="41"/>
      <c r="N333" s="40"/>
      <c r="O333" s="41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46"/>
    </row>
    <row r="334" ht="15.75" customHeight="1">
      <c r="A334" s="36"/>
      <c r="B334" s="36"/>
      <c r="C334" s="40"/>
      <c r="D334" s="40"/>
      <c r="E334" s="41"/>
      <c r="F334" s="40"/>
      <c r="G334" s="41"/>
      <c r="H334" s="40"/>
      <c r="I334" s="41"/>
      <c r="J334" s="40"/>
      <c r="K334" s="41"/>
      <c r="L334" s="40"/>
      <c r="M334" s="41"/>
      <c r="N334" s="40"/>
      <c r="O334" s="41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46"/>
    </row>
    <row r="335" ht="15.75" customHeight="1">
      <c r="A335" s="36"/>
      <c r="B335" s="36"/>
      <c r="C335" s="40"/>
      <c r="D335" s="40"/>
      <c r="E335" s="41"/>
      <c r="F335" s="40"/>
      <c r="G335" s="41"/>
      <c r="H335" s="40"/>
      <c r="I335" s="41"/>
      <c r="J335" s="40"/>
      <c r="K335" s="41"/>
      <c r="L335" s="40"/>
      <c r="M335" s="41"/>
      <c r="N335" s="40"/>
      <c r="O335" s="41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46"/>
    </row>
    <row r="336" ht="15.75" customHeight="1">
      <c r="A336" s="36"/>
      <c r="B336" s="36"/>
      <c r="C336" s="40"/>
      <c r="D336" s="40"/>
      <c r="E336" s="41"/>
      <c r="F336" s="40"/>
      <c r="G336" s="41"/>
      <c r="H336" s="40"/>
      <c r="I336" s="41"/>
      <c r="J336" s="40"/>
      <c r="K336" s="41"/>
      <c r="L336" s="40"/>
      <c r="M336" s="41"/>
      <c r="N336" s="40"/>
      <c r="O336" s="41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46"/>
    </row>
    <row r="337" ht="15.75" customHeight="1">
      <c r="A337" s="36"/>
      <c r="B337" s="36"/>
      <c r="C337" s="40"/>
      <c r="D337" s="40"/>
      <c r="E337" s="41"/>
      <c r="F337" s="40"/>
      <c r="G337" s="41"/>
      <c r="H337" s="40"/>
      <c r="I337" s="41"/>
      <c r="J337" s="40"/>
      <c r="K337" s="41"/>
      <c r="L337" s="40"/>
      <c r="M337" s="41"/>
      <c r="N337" s="40"/>
      <c r="O337" s="41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46"/>
    </row>
    <row r="338" ht="15.75" customHeight="1">
      <c r="A338" s="36"/>
      <c r="B338" s="36"/>
      <c r="C338" s="40"/>
      <c r="D338" s="40"/>
      <c r="E338" s="41"/>
      <c r="F338" s="40"/>
      <c r="G338" s="41"/>
      <c r="H338" s="40"/>
      <c r="I338" s="41"/>
      <c r="J338" s="40"/>
      <c r="K338" s="41"/>
      <c r="L338" s="40"/>
      <c r="M338" s="41"/>
      <c r="N338" s="40"/>
      <c r="O338" s="41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46"/>
    </row>
    <row r="339" ht="15.75" customHeight="1">
      <c r="A339" s="36"/>
      <c r="B339" s="36"/>
      <c r="C339" s="40"/>
      <c r="D339" s="40"/>
      <c r="E339" s="41"/>
      <c r="F339" s="40"/>
      <c r="G339" s="41"/>
      <c r="H339" s="40"/>
      <c r="I339" s="41"/>
      <c r="J339" s="40"/>
      <c r="K339" s="41"/>
      <c r="L339" s="40"/>
      <c r="M339" s="41"/>
      <c r="N339" s="40"/>
      <c r="O339" s="41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46"/>
    </row>
    <row r="340" ht="15.75" customHeight="1">
      <c r="A340" s="36"/>
      <c r="B340" s="3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A341" s="36"/>
      <c r="B341" s="3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A342" s="36"/>
      <c r="B342" s="3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A343" s="36"/>
      <c r="B343" s="3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A344" s="36"/>
      <c r="B344" s="3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A345" s="36"/>
      <c r="B345" s="3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A346" s="36"/>
      <c r="B346" s="3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A347" s="36"/>
      <c r="B347" s="3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A348" s="36"/>
      <c r="B348" s="3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A349" s="36"/>
      <c r="B349" s="3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A350" s="36"/>
      <c r="B350" s="3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A351" s="36"/>
      <c r="B351" s="3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A352" s="36"/>
      <c r="B352" s="3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A353" s="36"/>
      <c r="B353" s="3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A354" s="36"/>
      <c r="B354" s="3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A355" s="36"/>
      <c r="B355" s="3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A356" s="36"/>
      <c r="B356" s="3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A357" s="36"/>
      <c r="B357" s="3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A358" s="36"/>
      <c r="B358" s="3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A359" s="36"/>
      <c r="B359" s="3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A360" s="36"/>
      <c r="B360" s="3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A361" s="36"/>
      <c r="B361" s="3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A362" s="36"/>
      <c r="B362" s="3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A363" s="36"/>
      <c r="B363" s="3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A364" s="36"/>
      <c r="B364" s="3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A365" s="36"/>
      <c r="B365" s="3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A366" s="36"/>
      <c r="B366" s="3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A367" s="36"/>
      <c r="B367" s="3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A368" s="36"/>
      <c r="B368" s="3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A369" s="36"/>
      <c r="B369" s="3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A370" s="36"/>
      <c r="B370" s="3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A371" s="36"/>
      <c r="B371" s="3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A372" s="36"/>
      <c r="B372" s="3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A373" s="36"/>
      <c r="B373" s="3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A374" s="36"/>
      <c r="B374" s="3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A375" s="36"/>
      <c r="B375" s="3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A376" s="36"/>
      <c r="B376" s="3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A377" s="36"/>
      <c r="B377" s="3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A378" s="36"/>
      <c r="B378" s="3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A379" s="36"/>
      <c r="B379" s="3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A380" s="36"/>
      <c r="B380" s="3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A381" s="36"/>
      <c r="B381" s="3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A382" s="36"/>
      <c r="B382" s="3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A383" s="36"/>
      <c r="B383" s="3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A384" s="36"/>
      <c r="B384" s="3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A385" s="36"/>
      <c r="B385" s="3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A386" s="36"/>
      <c r="B386" s="3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A387" s="36"/>
      <c r="B387" s="3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A388" s="36"/>
      <c r="B388" s="3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A389" s="36"/>
      <c r="B389" s="3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36"/>
      <c r="B390" s="3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36"/>
      <c r="B391" s="3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36"/>
      <c r="B392" s="3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36"/>
      <c r="B393" s="3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36"/>
      <c r="B394" s="3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36"/>
      <c r="B395" s="3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36"/>
      <c r="B396" s="3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36"/>
      <c r="B397" s="3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36"/>
      <c r="B398" s="3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36"/>
      <c r="B399" s="3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36"/>
      <c r="B400" s="3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36"/>
      <c r="B401" s="3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36"/>
      <c r="B402" s="3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36"/>
      <c r="B403" s="3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36"/>
      <c r="B404" s="3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36"/>
      <c r="B405" s="3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36"/>
      <c r="B406" s="3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36"/>
      <c r="B407" s="3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36"/>
      <c r="B408" s="3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36"/>
      <c r="B409" s="3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36"/>
      <c r="B410" s="3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36"/>
      <c r="B411" s="3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36"/>
      <c r="B412" s="3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36"/>
      <c r="B413" s="3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36"/>
      <c r="B414" s="3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36"/>
      <c r="B415" s="3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36"/>
      <c r="B416" s="3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36"/>
      <c r="B417" s="3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36"/>
      <c r="B418" s="3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36"/>
      <c r="B419" s="3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36"/>
      <c r="B420" s="3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36"/>
      <c r="B421" s="3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36"/>
      <c r="B422" s="3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36"/>
      <c r="B423" s="3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36"/>
      <c r="B424" s="3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36"/>
      <c r="B425" s="3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36"/>
      <c r="B426" s="3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36"/>
      <c r="B427" s="3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36"/>
      <c r="B428" s="3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36"/>
      <c r="B429" s="3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36"/>
      <c r="B430" s="3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36"/>
      <c r="B431" s="3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36"/>
      <c r="B432" s="3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36"/>
      <c r="B433" s="3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36"/>
      <c r="B434" s="3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36"/>
      <c r="B435" s="3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36"/>
      <c r="B436" s="3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36"/>
      <c r="B437" s="3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36"/>
      <c r="B438" s="3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36"/>
      <c r="B439" s="3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36"/>
      <c r="B440" s="3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36"/>
      <c r="B441" s="3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36"/>
      <c r="B442" s="3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36"/>
      <c r="B443" s="3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36"/>
      <c r="B444" s="3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36"/>
      <c r="B445" s="3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36"/>
      <c r="B446" s="3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36"/>
      <c r="B447" s="3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36"/>
      <c r="B448" s="3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36"/>
      <c r="B449" s="3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36"/>
      <c r="B450" s="3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36"/>
      <c r="B451" s="3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36"/>
      <c r="B452" s="3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36"/>
      <c r="B453" s="3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36"/>
      <c r="B454" s="3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36"/>
      <c r="B455" s="3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36"/>
      <c r="B456" s="3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36"/>
      <c r="B457" s="3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36"/>
      <c r="B458" s="3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36"/>
      <c r="B459" s="3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36"/>
      <c r="B460" s="3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36"/>
      <c r="B461" s="3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36"/>
      <c r="B462" s="3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36"/>
      <c r="B463" s="3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36"/>
      <c r="B464" s="3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36"/>
      <c r="B465" s="3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36"/>
      <c r="B466" s="3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36"/>
      <c r="B467" s="3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36"/>
      <c r="B468" s="3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36"/>
      <c r="B469" s="3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36"/>
      <c r="B470" s="3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36"/>
      <c r="B471" s="3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36"/>
      <c r="B472" s="3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36"/>
      <c r="B473" s="3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36"/>
      <c r="B474" s="3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36"/>
      <c r="B475" s="3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36"/>
      <c r="B476" s="3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36"/>
      <c r="B477" s="3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36"/>
      <c r="B478" s="3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36"/>
      <c r="B479" s="3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36"/>
      <c r="B480" s="3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36"/>
      <c r="B481" s="3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36"/>
      <c r="B482" s="3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36"/>
      <c r="B483" s="3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36"/>
      <c r="B484" s="3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36"/>
      <c r="B485" s="3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36"/>
      <c r="B486" s="3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36"/>
      <c r="B487" s="3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36"/>
      <c r="B488" s="3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36"/>
      <c r="B489" s="3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36"/>
      <c r="B490" s="3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36"/>
      <c r="B491" s="3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36"/>
      <c r="B492" s="3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36"/>
      <c r="B493" s="3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36"/>
      <c r="B494" s="3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36"/>
      <c r="B495" s="3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36"/>
      <c r="B496" s="3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36"/>
      <c r="B497" s="3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36"/>
      <c r="B498" s="3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36"/>
      <c r="B499" s="3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36"/>
      <c r="B500" s="3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36"/>
      <c r="B501" s="3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36"/>
      <c r="B502" s="3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36"/>
      <c r="B503" s="3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36"/>
      <c r="B504" s="3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36"/>
      <c r="B505" s="3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36"/>
      <c r="B506" s="3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36"/>
      <c r="B507" s="3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36"/>
      <c r="B508" s="3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36"/>
      <c r="B509" s="3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36"/>
      <c r="B510" s="3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36"/>
      <c r="B511" s="3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36"/>
      <c r="B512" s="3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36"/>
      <c r="B513" s="3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36"/>
      <c r="B514" s="3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36"/>
      <c r="B515" s="3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36"/>
      <c r="B516" s="3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36"/>
      <c r="B517" s="3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36"/>
      <c r="B518" s="3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36"/>
      <c r="B519" s="3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36"/>
      <c r="B520" s="3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36"/>
      <c r="B521" s="3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36"/>
      <c r="B522" s="3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36"/>
      <c r="B523" s="3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36"/>
      <c r="B524" s="3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36"/>
      <c r="B525" s="3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36"/>
      <c r="B526" s="3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36"/>
      <c r="B527" s="3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36"/>
      <c r="B528" s="3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36"/>
      <c r="B529" s="3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36"/>
      <c r="B530" s="3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36"/>
      <c r="B531" s="3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36"/>
      <c r="B532" s="3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36"/>
      <c r="B533" s="3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36"/>
      <c r="B534" s="3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36"/>
      <c r="B535" s="3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36"/>
      <c r="B536" s="3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36"/>
      <c r="B537" s="3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36"/>
      <c r="B538" s="3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36"/>
      <c r="B539" s="3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36"/>
      <c r="B540" s="3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36"/>
      <c r="B541" s="3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36"/>
      <c r="B542" s="3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36"/>
      <c r="B543" s="3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36"/>
      <c r="B544" s="3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36"/>
      <c r="B545" s="3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36"/>
      <c r="B546" s="3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36"/>
      <c r="B547" s="3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36"/>
      <c r="B548" s="3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36"/>
      <c r="B549" s="3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36"/>
      <c r="B550" s="3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36"/>
      <c r="B551" s="3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36"/>
      <c r="B552" s="3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36"/>
      <c r="B553" s="3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36"/>
      <c r="B554" s="3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36"/>
      <c r="B555" s="3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36"/>
      <c r="B556" s="3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36"/>
      <c r="B557" s="3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36"/>
      <c r="B558" s="3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36"/>
      <c r="B559" s="3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36"/>
      <c r="B560" s="3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36"/>
      <c r="B561" s="3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36"/>
      <c r="B562" s="3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36"/>
      <c r="B563" s="3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36"/>
      <c r="B564" s="3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36"/>
      <c r="B565" s="3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36"/>
      <c r="B566" s="3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36"/>
      <c r="B567" s="3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36"/>
      <c r="B568" s="3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36"/>
      <c r="B569" s="3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36"/>
      <c r="B570" s="3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36"/>
      <c r="B571" s="3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36"/>
      <c r="B572" s="3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36"/>
      <c r="B573" s="3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36"/>
      <c r="B574" s="3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36"/>
      <c r="B575" s="3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36"/>
      <c r="B576" s="3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36"/>
      <c r="B577" s="3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36"/>
      <c r="B578" s="3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36"/>
      <c r="B579" s="3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36"/>
      <c r="B580" s="3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36"/>
      <c r="B581" s="3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36"/>
      <c r="B582" s="3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36"/>
      <c r="B583" s="3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36"/>
      <c r="B584" s="3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36"/>
      <c r="B585" s="3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36"/>
      <c r="B586" s="3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36"/>
      <c r="B587" s="3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36"/>
      <c r="B588" s="3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36"/>
      <c r="B589" s="3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36"/>
      <c r="B590" s="3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36"/>
      <c r="B591" s="3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36"/>
      <c r="B592" s="3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36"/>
      <c r="B593" s="3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36"/>
      <c r="B594" s="3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36"/>
      <c r="B595" s="3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36"/>
      <c r="B596" s="3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36"/>
      <c r="B597" s="3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36"/>
      <c r="B598" s="3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36"/>
      <c r="B599" s="3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36"/>
      <c r="B600" s="3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36"/>
      <c r="B601" s="3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36"/>
      <c r="B602" s="3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36"/>
      <c r="B603" s="3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36"/>
      <c r="B604" s="3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36"/>
      <c r="B605" s="3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36"/>
      <c r="B606" s="3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36"/>
      <c r="B607" s="3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36"/>
      <c r="B608" s="3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36"/>
      <c r="B609" s="3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36"/>
      <c r="B610" s="3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36"/>
      <c r="B611" s="3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36"/>
      <c r="B612" s="3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36"/>
      <c r="B613" s="3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36"/>
      <c r="B614" s="3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36"/>
      <c r="B615" s="3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36"/>
      <c r="B616" s="3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36"/>
      <c r="B617" s="3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36"/>
      <c r="B618" s="3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36"/>
      <c r="B619" s="3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36"/>
      <c r="B620" s="3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36"/>
      <c r="B621" s="3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36"/>
      <c r="B622" s="3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36"/>
      <c r="B623" s="3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36"/>
      <c r="B624" s="3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36"/>
      <c r="B625" s="3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36"/>
      <c r="B626" s="3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36"/>
      <c r="B627" s="3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36"/>
      <c r="B628" s="3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36"/>
      <c r="B629" s="3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36"/>
      <c r="B630" s="3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36"/>
      <c r="B631" s="3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36"/>
      <c r="B632" s="3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36"/>
      <c r="B633" s="3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36"/>
      <c r="B634" s="3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36"/>
      <c r="B635" s="3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36"/>
      <c r="B636" s="3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36"/>
      <c r="B637" s="3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36"/>
      <c r="B638" s="3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36"/>
      <c r="B639" s="3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36"/>
      <c r="B640" s="3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36"/>
      <c r="B641" s="3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36"/>
      <c r="B642" s="3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36"/>
      <c r="B643" s="3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36"/>
      <c r="B644" s="3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36"/>
      <c r="B645" s="3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36"/>
      <c r="B646" s="3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36"/>
      <c r="B647" s="3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36"/>
      <c r="B648" s="3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36"/>
      <c r="B649" s="3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36"/>
      <c r="B650" s="3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36"/>
      <c r="B651" s="3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36"/>
      <c r="B652" s="3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36"/>
      <c r="B653" s="3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36"/>
      <c r="B654" s="3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36"/>
      <c r="B655" s="3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36"/>
      <c r="B656" s="3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36"/>
      <c r="B657" s="3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36"/>
      <c r="B658" s="3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36"/>
      <c r="B659" s="3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36"/>
      <c r="B660" s="3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36"/>
      <c r="B661" s="3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36"/>
      <c r="B662" s="3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36"/>
      <c r="B663" s="3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36"/>
      <c r="B664" s="3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36"/>
      <c r="B665" s="3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36"/>
      <c r="B666" s="3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36"/>
      <c r="B667" s="3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36"/>
      <c r="B668" s="3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36"/>
      <c r="B669" s="3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36"/>
      <c r="B670" s="3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36"/>
      <c r="B671" s="3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36"/>
      <c r="B672" s="3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36"/>
      <c r="B673" s="3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36"/>
      <c r="B674" s="3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36"/>
      <c r="B675" s="3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36"/>
      <c r="B676" s="3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36"/>
      <c r="B677" s="3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36"/>
      <c r="B678" s="3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36"/>
      <c r="B679" s="3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36"/>
      <c r="B680" s="3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36"/>
      <c r="B681" s="3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36"/>
      <c r="B682" s="3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36"/>
      <c r="B683" s="3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36"/>
      <c r="B684" s="3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36"/>
      <c r="B685" s="3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36"/>
      <c r="B686" s="3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36"/>
      <c r="B687" s="3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36"/>
      <c r="B688" s="3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36"/>
      <c r="B689" s="3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36"/>
      <c r="B690" s="3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36"/>
      <c r="B691" s="3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36"/>
      <c r="B692" s="3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36"/>
      <c r="B693" s="3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36"/>
      <c r="B694" s="3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36"/>
      <c r="B695" s="3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36"/>
      <c r="B696" s="3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36"/>
      <c r="B697" s="3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36"/>
      <c r="B698" s="3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36"/>
      <c r="B699" s="3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36"/>
      <c r="B700" s="3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36"/>
      <c r="B701" s="3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36"/>
      <c r="B702" s="3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36"/>
      <c r="B703" s="3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36"/>
      <c r="B704" s="3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36"/>
      <c r="B705" s="3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36"/>
      <c r="B706" s="3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36"/>
      <c r="B707" s="3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36"/>
      <c r="B708" s="3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36"/>
      <c r="B709" s="3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36"/>
      <c r="B710" s="3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36"/>
      <c r="B711" s="3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36"/>
      <c r="B712" s="3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36"/>
      <c r="B713" s="3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36"/>
      <c r="B714" s="3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36"/>
      <c r="B715" s="3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36"/>
      <c r="B716" s="3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36"/>
      <c r="B717" s="3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36"/>
      <c r="B718" s="3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36"/>
      <c r="B719" s="3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36"/>
      <c r="B720" s="3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36"/>
      <c r="B721" s="3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36"/>
      <c r="B722" s="3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36"/>
      <c r="B723" s="3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36"/>
      <c r="B724" s="3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36"/>
      <c r="B725" s="3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36"/>
      <c r="B726" s="3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36"/>
      <c r="B727" s="3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36"/>
      <c r="B728" s="3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36"/>
      <c r="B729" s="3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36"/>
      <c r="B730" s="3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36"/>
      <c r="B731" s="3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36"/>
      <c r="B732" s="3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36"/>
      <c r="B733" s="3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36"/>
      <c r="B734" s="3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36"/>
      <c r="B735" s="3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36"/>
      <c r="B736" s="3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36"/>
      <c r="B737" s="3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36"/>
      <c r="B738" s="3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36"/>
      <c r="B739" s="3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36"/>
      <c r="B740" s="3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36"/>
      <c r="B741" s="3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36"/>
      <c r="B742" s="3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36"/>
      <c r="B743" s="3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36"/>
      <c r="B744" s="3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36"/>
      <c r="B745" s="3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36"/>
      <c r="B746" s="3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36"/>
      <c r="B747" s="3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36"/>
      <c r="B748" s="3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36"/>
      <c r="B749" s="3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36"/>
      <c r="B750" s="3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36"/>
      <c r="B751" s="3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36"/>
      <c r="B752" s="3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36"/>
      <c r="B753" s="3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36"/>
      <c r="B754" s="3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36"/>
      <c r="B755" s="3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36"/>
      <c r="B756" s="3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36"/>
      <c r="B757" s="3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36"/>
      <c r="B758" s="3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36"/>
      <c r="B759" s="3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36"/>
      <c r="B760" s="3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36"/>
      <c r="B761" s="3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36"/>
      <c r="B762" s="3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36"/>
      <c r="B763" s="3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36"/>
      <c r="B764" s="3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36"/>
      <c r="B765" s="3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36"/>
      <c r="B766" s="3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36"/>
      <c r="B767" s="3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36"/>
      <c r="B768" s="3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36"/>
      <c r="B769" s="3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36"/>
      <c r="B770" s="3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36"/>
      <c r="B771" s="3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36"/>
      <c r="B772" s="3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36"/>
      <c r="B773" s="3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36"/>
      <c r="B774" s="3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36"/>
      <c r="B775" s="3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36"/>
      <c r="B776" s="3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36"/>
      <c r="B777" s="3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36"/>
      <c r="B778" s="3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36"/>
      <c r="B779" s="3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36"/>
      <c r="B780" s="3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36"/>
      <c r="B781" s="3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36"/>
      <c r="B782" s="3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36"/>
      <c r="B783" s="3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36"/>
      <c r="B784" s="3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36"/>
      <c r="B785" s="3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36"/>
      <c r="B786" s="3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36"/>
      <c r="B787" s="3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36"/>
      <c r="B788" s="3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36"/>
      <c r="B789" s="3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36"/>
      <c r="B790" s="3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36"/>
      <c r="B791" s="3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36"/>
      <c r="B792" s="3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36"/>
      <c r="B793" s="3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36"/>
      <c r="B794" s="3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36"/>
      <c r="B795" s="3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36"/>
      <c r="B796" s="3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36"/>
      <c r="B797" s="3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36"/>
      <c r="B798" s="3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36"/>
      <c r="B799" s="3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36"/>
      <c r="B800" s="3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36"/>
      <c r="B801" s="3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36"/>
      <c r="B802" s="3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36"/>
      <c r="B803" s="3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36"/>
      <c r="B804" s="3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36"/>
      <c r="B805" s="3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36"/>
      <c r="B806" s="3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36"/>
      <c r="B807" s="3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36"/>
      <c r="B808" s="3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36"/>
      <c r="B809" s="3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36"/>
      <c r="B810" s="3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36"/>
      <c r="B811" s="3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36"/>
      <c r="B812" s="3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36"/>
      <c r="B813" s="3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36"/>
      <c r="B814" s="3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36"/>
      <c r="B815" s="3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36"/>
      <c r="B816" s="3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36"/>
      <c r="B817" s="3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36"/>
      <c r="B818" s="3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36"/>
      <c r="B819" s="3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36"/>
      <c r="B820" s="3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36"/>
      <c r="B821" s="3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36"/>
      <c r="B822" s="3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36"/>
      <c r="B823" s="3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36"/>
      <c r="B824" s="3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36"/>
      <c r="B825" s="3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36"/>
      <c r="B826" s="3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36"/>
      <c r="B827" s="3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36"/>
      <c r="B828" s="3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36"/>
      <c r="B829" s="3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36"/>
      <c r="B830" s="3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36"/>
      <c r="B831" s="3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36"/>
      <c r="B832" s="3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36"/>
      <c r="B833" s="3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36"/>
      <c r="B834" s="3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36"/>
      <c r="B835" s="3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36"/>
      <c r="B836" s="3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36"/>
      <c r="B837" s="3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36"/>
      <c r="B838" s="3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36"/>
      <c r="B839" s="3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36"/>
      <c r="B840" s="3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36"/>
      <c r="B841" s="3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36"/>
      <c r="B842" s="3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36"/>
      <c r="B843" s="3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36"/>
      <c r="B844" s="3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36"/>
      <c r="B845" s="3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36"/>
      <c r="B846" s="3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36"/>
      <c r="B847" s="3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36"/>
      <c r="B848" s="3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36"/>
      <c r="B849" s="3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36"/>
      <c r="B850" s="3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36"/>
      <c r="B851" s="3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36"/>
      <c r="B852" s="3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36"/>
      <c r="B853" s="3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36"/>
      <c r="B854" s="3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36"/>
      <c r="B855" s="3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36"/>
      <c r="B856" s="3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36"/>
      <c r="B857" s="3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36"/>
      <c r="B858" s="3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36"/>
      <c r="B859" s="3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36"/>
      <c r="B860" s="3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36"/>
      <c r="B861" s="3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36"/>
      <c r="B862" s="3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36"/>
      <c r="B863" s="3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36"/>
      <c r="B864" s="3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36"/>
      <c r="B865" s="3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36"/>
      <c r="B866" s="3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36"/>
      <c r="B867" s="3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36"/>
      <c r="B868" s="3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36"/>
      <c r="B869" s="3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36"/>
      <c r="B870" s="3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36"/>
      <c r="B871" s="3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36"/>
      <c r="B872" s="3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36"/>
      <c r="B873" s="3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36"/>
      <c r="B874" s="3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36"/>
      <c r="B875" s="3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36"/>
      <c r="B876" s="3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36"/>
      <c r="B877" s="3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36"/>
      <c r="B878" s="3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36"/>
      <c r="B879" s="3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36"/>
      <c r="B880" s="3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36"/>
      <c r="B881" s="3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36"/>
      <c r="B882" s="3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36"/>
      <c r="B883" s="3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36"/>
      <c r="B884" s="3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36"/>
      <c r="B885" s="3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36"/>
      <c r="B886" s="3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36"/>
      <c r="B887" s="3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36"/>
      <c r="B888" s="3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36"/>
      <c r="B889" s="3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36"/>
      <c r="B890" s="3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36"/>
      <c r="B891" s="3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36"/>
      <c r="B892" s="3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36"/>
      <c r="B893" s="3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36"/>
      <c r="B894" s="3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36"/>
      <c r="B895" s="3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36"/>
      <c r="B896" s="3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36"/>
      <c r="B897" s="3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36"/>
      <c r="B898" s="3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36"/>
      <c r="B899" s="3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36"/>
      <c r="B900" s="3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36"/>
      <c r="B901" s="3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36"/>
      <c r="B902" s="3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36"/>
      <c r="B903" s="3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36"/>
      <c r="B904" s="3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36"/>
      <c r="B905" s="3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36"/>
      <c r="B906" s="3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36"/>
      <c r="B907" s="3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36"/>
      <c r="B908" s="3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36"/>
      <c r="B909" s="3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36"/>
      <c r="B910" s="3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36"/>
      <c r="B911" s="3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36"/>
      <c r="B912" s="3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36"/>
      <c r="B913" s="3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36"/>
      <c r="B914" s="3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36"/>
      <c r="B915" s="3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36"/>
      <c r="B916" s="3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36"/>
      <c r="B917" s="3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36"/>
      <c r="B918" s="3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36"/>
      <c r="B919" s="3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36"/>
      <c r="B920" s="3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36"/>
      <c r="B921" s="3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36"/>
      <c r="B922" s="3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36"/>
      <c r="B923" s="3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36"/>
      <c r="B924" s="3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36"/>
      <c r="B925" s="3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36"/>
      <c r="B926" s="3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36"/>
      <c r="B927" s="3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36"/>
      <c r="B928" s="3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36"/>
      <c r="B929" s="3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36"/>
      <c r="B930" s="3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36"/>
      <c r="B931" s="3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36"/>
      <c r="B932" s="3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36"/>
      <c r="B933" s="3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36"/>
      <c r="B934" s="3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36"/>
      <c r="B935" s="3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36"/>
      <c r="B936" s="3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36"/>
      <c r="B937" s="3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36"/>
      <c r="B938" s="3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36"/>
      <c r="B939" s="3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36"/>
      <c r="B940" s="3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36"/>
      <c r="B941" s="3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36"/>
      <c r="B942" s="3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36"/>
      <c r="B943" s="3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36"/>
      <c r="B944" s="3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36"/>
      <c r="B945" s="3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36"/>
      <c r="B946" s="3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36"/>
      <c r="B947" s="3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36"/>
      <c r="B948" s="3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36"/>
      <c r="B949" s="3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36"/>
      <c r="B950" s="3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36"/>
      <c r="B951" s="3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36"/>
      <c r="B952" s="3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36"/>
      <c r="B953" s="3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36"/>
      <c r="B954" s="3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36"/>
      <c r="B955" s="3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36"/>
      <c r="B956" s="3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36"/>
      <c r="B957" s="3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36"/>
      <c r="B958" s="3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36"/>
      <c r="B959" s="3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36"/>
      <c r="B960" s="3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36"/>
      <c r="B961" s="3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36"/>
      <c r="B962" s="3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36"/>
      <c r="B963" s="3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36"/>
      <c r="B964" s="3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36"/>
      <c r="B965" s="3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36"/>
      <c r="B966" s="3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36"/>
      <c r="B967" s="3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36"/>
      <c r="B968" s="3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36"/>
      <c r="B969" s="3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36"/>
      <c r="B970" s="3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36"/>
      <c r="B971" s="3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36"/>
      <c r="B972" s="3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36"/>
      <c r="B973" s="3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36"/>
      <c r="B974" s="3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36"/>
      <c r="B975" s="3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36"/>
      <c r="B976" s="3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36"/>
      <c r="B977" s="3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36"/>
      <c r="B978" s="3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36"/>
      <c r="B979" s="3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36"/>
      <c r="B980" s="3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36"/>
      <c r="B981" s="3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36"/>
      <c r="B982" s="3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36"/>
      <c r="B983" s="3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36"/>
      <c r="B984" s="3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36"/>
      <c r="B985" s="3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36"/>
      <c r="B986" s="3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36"/>
      <c r="B987" s="3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36"/>
      <c r="B988" s="3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36"/>
      <c r="B989" s="3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36"/>
      <c r="B990" s="3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36"/>
      <c r="B991" s="3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A992" s="36"/>
      <c r="B992" s="3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A993" s="36"/>
      <c r="B993" s="3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5.75" customHeight="1">
      <c r="A994" s="36"/>
      <c r="B994" s="3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5.75" customHeight="1">
      <c r="A995" s="36"/>
      <c r="B995" s="3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5.75" customHeight="1">
      <c r="A996" s="36"/>
      <c r="B996" s="3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5.75" customHeight="1">
      <c r="A997" s="17"/>
      <c r="B997" s="17"/>
    </row>
    <row r="998" ht="15.75" customHeight="1">
      <c r="A998" s="17"/>
      <c r="B998" s="17"/>
    </row>
  </sheetData>
  <printOptions/>
  <pageMargins bottom="0.75" footer="0.0" header="0.0" left="0.7" right="0.7" top="0.75"/>
  <pageSetup orientation="portrait"/>
  <drawing r:id="rId1"/>
</worksheet>
</file>