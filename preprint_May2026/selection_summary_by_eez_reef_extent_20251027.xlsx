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darling/Documents/GitHub/MERMAID-analysis/50 reefs plus/"/>
    </mc:Choice>
  </mc:AlternateContent>
  <xr:revisionPtr revIDLastSave="0" documentId="13_ncr:1_{EB2A3E81-A9A8-3B40-AD5D-62CF8FEF07C0}" xr6:coauthVersionLast="47" xr6:coauthVersionMax="47" xr10:uidLastSave="{00000000-0000-0000-0000-000000000000}"/>
  <bookViews>
    <workbookView xWindow="0" yWindow="740" windowWidth="29400" windowHeight="18380" xr2:uid="{3F72A27B-24C1-44E1-94DF-2F3B1E96E6B8}"/>
  </bookViews>
  <sheets>
    <sheet name="selection_summary_by_eez_effect" sheetId="1" r:id="rId1"/>
  </sheets>
  <definedNames>
    <definedName name="_xlnm._FilterDatabase" localSheetId="0" hidden="1">selection_summary_by_eez_effect!$B$2:$P$141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3" i="1"/>
  <c r="F70" i="1"/>
  <c r="F71" i="1"/>
  <c r="F91" i="1"/>
  <c r="F93" i="1"/>
  <c r="F119" i="1"/>
  <c r="F123" i="1"/>
  <c r="F130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E71" i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E92" i="1"/>
  <c r="F92" i="1" s="1"/>
  <c r="E93" i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E120" i="1"/>
  <c r="F120" i="1" s="1"/>
  <c r="E121" i="1"/>
  <c r="F121" i="1" s="1"/>
  <c r="E122" i="1"/>
  <c r="F122" i="1" s="1"/>
  <c r="E123" i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I3" i="1"/>
  <c r="J3" i="1" s="1"/>
  <c r="E3" i="1"/>
  <c r="F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</calcChain>
</file>

<file path=xl/sharedStrings.xml><?xml version="1.0" encoding="utf-8"?>
<sst xmlns="http://schemas.openxmlformats.org/spreadsheetml/2006/main" count="301" uniqueCount="157">
  <si>
    <t>Bahamas</t>
  </si>
  <si>
    <t>Indonesia</t>
  </si>
  <si>
    <t>Australia</t>
  </si>
  <si>
    <t>Cuba</t>
  </si>
  <si>
    <t>Philippines</t>
  </si>
  <si>
    <t>Papua New Guinea</t>
  </si>
  <si>
    <t>Solomon Islands</t>
  </si>
  <si>
    <t>Saudi Arabia</t>
  </si>
  <si>
    <t>Maldives</t>
  </si>
  <si>
    <t>Fiji</t>
  </si>
  <si>
    <t>Malaysia</t>
  </si>
  <si>
    <t>Micronesia</t>
  </si>
  <si>
    <t>Eritrea</t>
  </si>
  <si>
    <t>New Caledonia</t>
  </si>
  <si>
    <t>Gilbert Islands</t>
  </si>
  <si>
    <t>Hawaii</t>
  </si>
  <si>
    <t>Chagos Archipelago</t>
  </si>
  <si>
    <t>Marshall Islands</t>
  </si>
  <si>
    <t>Madagascar</t>
  </si>
  <si>
    <t>Turks and Caicos Islands</t>
  </si>
  <si>
    <t>Andaman and Nicobar</t>
  </si>
  <si>
    <t>French Polynesia</t>
  </si>
  <si>
    <t>Palau</t>
  </si>
  <si>
    <t>Mozambique</t>
  </si>
  <si>
    <t>Tanzania</t>
  </si>
  <si>
    <t>Myanmar</t>
  </si>
  <si>
    <t>China</t>
  </si>
  <si>
    <t>Vietnam</t>
  </si>
  <si>
    <t>Japan</t>
  </si>
  <si>
    <t>Seychelles</t>
  </si>
  <si>
    <t>India</t>
  </si>
  <si>
    <t>Bahrain</t>
  </si>
  <si>
    <t>Yemen</t>
  </si>
  <si>
    <t>Vanuatu</t>
  </si>
  <si>
    <t>Sri Lanka</t>
  </si>
  <si>
    <t>Egypt</t>
  </si>
  <si>
    <t>Qatar</t>
  </si>
  <si>
    <t>Dominican Republic</t>
  </si>
  <si>
    <t>Thailand</t>
  </si>
  <si>
    <t>Haiti</t>
  </si>
  <si>
    <t>Kenya</t>
  </si>
  <si>
    <t>Tonga</t>
  </si>
  <si>
    <t>Iran</t>
  </si>
  <si>
    <t>Oman</t>
  </si>
  <si>
    <t>Sudan</t>
  </si>
  <si>
    <t>United Arab Emirates</t>
  </si>
  <si>
    <t>Brazil</t>
  </si>
  <si>
    <t>Tuvalu</t>
  </si>
  <si>
    <t>Federal Republic of Somalia</t>
  </si>
  <si>
    <t>Taiwan</t>
  </si>
  <si>
    <t>Samoa</t>
  </si>
  <si>
    <t>Galapagos</t>
  </si>
  <si>
    <t>Line Group</t>
  </si>
  <si>
    <t>Wallis and Futuna</t>
  </si>
  <si>
    <t>Djibouti</t>
  </si>
  <si>
    <t>Costa Rica</t>
  </si>
  <si>
    <t>Panama</t>
  </si>
  <si>
    <t>Republic of Mauritius</t>
  </si>
  <si>
    <t>East Timor</t>
  </si>
  <si>
    <t>Cook Islands</t>
  </si>
  <si>
    <t>Halaib Triangle</t>
  </si>
  <si>
    <t>Comores</t>
  </si>
  <si>
    <t>Guam</t>
  </si>
  <si>
    <t>Belize</t>
  </si>
  <si>
    <t>Northern Mariana Islands</t>
  </si>
  <si>
    <t>United States</t>
  </si>
  <si>
    <t>Cambodia</t>
  </si>
  <si>
    <t>Glorioso Islands</t>
  </si>
  <si>
    <t>Nicaragua</t>
  </si>
  <si>
    <t>Palmyra Atoll</t>
  </si>
  <si>
    <t>Cocos Islands</t>
  </si>
  <si>
    <t>Brunei</t>
  </si>
  <si>
    <t>American Samoa</t>
  </si>
  <si>
    <t>Mayotte</t>
  </si>
  <si>
    <t>Juan de Nova Island</t>
  </si>
  <si>
    <t>Tokelau</t>
  </si>
  <si>
    <t>Singapore</t>
  </si>
  <si>
    <t>Niue</t>
  </si>
  <si>
    <t>Abu musa, Greater and Lesser Tunb</t>
  </si>
  <si>
    <t>Christmas Island</t>
  </si>
  <si>
    <t>Honduras</t>
  </si>
  <si>
    <t>Oecusse</t>
  </si>
  <si>
    <t>Bangladesh</t>
  </si>
  <si>
    <t>Clipperton Island</t>
  </si>
  <si>
    <t>Mexico</t>
  </si>
  <si>
    <t>Senkaku Islands</t>
  </si>
  <si>
    <t>Trindade</t>
  </si>
  <si>
    <t>Anguilla</t>
  </si>
  <si>
    <t>Antigua and Barbuda</t>
  </si>
  <si>
    <t>Aruba</t>
  </si>
  <si>
    <t>Bajo Nuevo Bank</t>
  </si>
  <si>
    <t>Barbados</t>
  </si>
  <si>
    <t>Bassas da India</t>
  </si>
  <si>
    <t>Bermuda</t>
  </si>
  <si>
    <t>Bonaire</t>
  </si>
  <si>
    <t>British Virgin Islands</t>
  </si>
  <si>
    <t>Cayman Islands</t>
  </si>
  <si>
    <t>Collectivity of Saint Martin</t>
  </si>
  <si>
    <t>Colombia</t>
  </si>
  <si>
    <t>Dominica</t>
  </si>
  <si>
    <t>Doumeira Islands</t>
  </si>
  <si>
    <t>Ecuador</t>
  </si>
  <si>
    <t>Europa Island</t>
  </si>
  <si>
    <t>Grenada</t>
  </si>
  <si>
    <t>Guadeloupe</t>
  </si>
  <si>
    <t>Howland and Baker Islands</t>
  </si>
  <si>
    <t>Ile Tromelin</t>
  </si>
  <si>
    <t>Israel</t>
  </si>
  <si>
    <t>Jamaica</t>
  </si>
  <si>
    <t>Jarvis Island</t>
  </si>
  <si>
    <t>Johnston Atoll</t>
  </si>
  <si>
    <t>Jordan</t>
  </si>
  <si>
    <t>Kuwait</t>
  </si>
  <si>
    <t>Martinique</t>
  </si>
  <si>
    <t>Montserrat</t>
  </si>
  <si>
    <t>Nauru</t>
  </si>
  <si>
    <t>Navassa Island</t>
  </si>
  <si>
    <t>Pakistan</t>
  </si>
  <si>
    <t>Phoenix Group</t>
  </si>
  <si>
    <t>Pitcairn</t>
  </si>
  <si>
    <t>Puerto Rico</t>
  </si>
  <si>
    <t>QuitasueÃ±o Bank</t>
  </si>
  <si>
    <t>Saba</t>
  </si>
  <si>
    <t>Saint Kitts and Nevis</t>
  </si>
  <si>
    <t>Saint Lucia</t>
  </si>
  <si>
    <t>Saint Vincent and the Grenadines</t>
  </si>
  <si>
    <t>Saint-BarthÃ©lemy</t>
  </si>
  <si>
    <t>Serrana Bank</t>
  </si>
  <si>
    <t>Serranilla Bank</t>
  </si>
  <si>
    <t>Sint-Eustatius</t>
  </si>
  <si>
    <t>Sint-Maarten</t>
  </si>
  <si>
    <t>South Africa</t>
  </si>
  <si>
    <t>Trinidad and Tobago</t>
  </si>
  <si>
    <t>United States Virgin Islands</t>
  </si>
  <si>
    <t>Venezuela</t>
  </si>
  <si>
    <t>Wake Island / Enenkio</t>
  </si>
  <si>
    <t>EEZ Territory</t>
  </si>
  <si>
    <t>Absolute coral cover (km2)</t>
  </si>
  <si>
    <t xml:space="preserve"> 
Total</t>
  </si>
  <si>
    <t xml:space="preserve">
50 Reefs+  selections total</t>
  </si>
  <si>
    <t xml:space="preserve">
50 Reefs+  selections new</t>
  </si>
  <si>
    <t>Reef Extent (km2)</t>
  </si>
  <si>
    <t>Percent (%)</t>
  </si>
  <si>
    <t xml:space="preserve">
Beyer et al. only -  not selected by 50 Reefs+</t>
  </si>
  <si>
    <t>EEZ Country</t>
  </si>
  <si>
    <t>France</t>
  </si>
  <si>
    <t>United Kingdom</t>
  </si>
  <si>
    <t>Kiribati</t>
  </si>
  <si>
    <t>New Zealand</t>
  </si>
  <si>
    <t>Netherlands</t>
  </si>
  <si>
    <t>CuraÃ§ao</t>
  </si>
  <si>
    <t>RÃ©union</t>
  </si>
  <si>
    <t>NA</t>
  </si>
  <si>
    <t>Reef extent (km2)</t>
  </si>
  <si>
    <t>Original Beyer total</t>
  </si>
  <si>
    <t>50 Reefs+ and Beyer overlap</t>
  </si>
  <si>
    <t xml:space="preserve"> 
Remaining (no selections)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</si>
</sst>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9" fillId="0" borderId="0" xfId="0" applyFont="1"/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19" fillId="0" borderId="17" xfId="0" applyFont="1" applyBorder="1" applyAlignment="1">
      <alignment horizontal="right" wrapText="1"/>
    </xf>
    <xf numFmtId="1" fontId="19" fillId="0" borderId="10" xfId="0" applyNumberFormat="1" applyFont="1" applyBorder="1" applyAlignment="1">
      <alignment wrapText="1"/>
    </xf>
    <xf numFmtId="1" fontId="19" fillId="0" borderId="10" xfId="0" applyNumberFormat="1" applyFont="1" applyBorder="1" applyAlignment="1">
      <alignment horizontal="right" wrapText="1"/>
    </xf>
    <xf numFmtId="0" fontId="0" fillId="0" borderId="17" xfId="0" applyBorder="1"/>
    <xf numFmtId="0" fontId="0" fillId="0" borderId="10" xfId="0" applyBorder="1"/>
    <xf numFmtId="0" fontId="0" fillId="0" borderId="16" xfId="0" applyBorder="1"/>
    <xf numFmtId="0" fontId="0" fillId="0" borderId="14" xfId="0" applyBorder="1"/>
    <xf numFmtId="0" fontId="19" fillId="0" borderId="0" xfId="0" applyFont="1" applyAlignment="1">
      <alignment wrapText="1"/>
    </xf>
    <xf numFmtId="0" fontId="0" fillId="0" borderId="11" xfId="0" applyBorder="1"/>
    <xf numFmtId="1" fontId="19" fillId="0" borderId="12" xfId="0" applyNumberFormat="1" applyFont="1" applyBorder="1" applyAlignment="1">
      <alignment horizontal="right" wrapText="1"/>
    </xf>
    <xf numFmtId="0" fontId="0" fillId="0" borderId="13" xfId="0" applyBorder="1"/>
    <xf numFmtId="1" fontId="19" fillId="0" borderId="14" xfId="0" applyNumberFormat="1" applyFont="1" applyBorder="1" applyAlignment="1">
      <alignment horizontal="right" wrapText="1"/>
    </xf>
    <xf numFmtId="0" fontId="19" fillId="0" borderId="15" xfId="0" applyFont="1" applyBorder="1" applyAlignment="1">
      <alignment horizontal="right" wrapText="1"/>
    </xf>
    <xf numFmtId="1" fontId="19" fillId="0" borderId="12" xfId="0" applyNumberFormat="1" applyFont="1" applyBorder="1" applyAlignment="1">
      <alignment wrapText="1"/>
    </xf>
    <xf numFmtId="0" fontId="19" fillId="0" borderId="16" xfId="0" applyFont="1" applyBorder="1" applyAlignment="1">
      <alignment horizontal="right" wrapText="1"/>
    </xf>
    <xf numFmtId="1" fontId="19" fillId="0" borderId="14" xfId="0" applyNumberFormat="1" applyFont="1" applyBorder="1" applyAlignment="1">
      <alignment wrapText="1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26B8-356F-4190-89E2-80C33207B213}">
  <dimension ref="A1:P141"/>
  <sheetViews>
    <sheetView tabSelected="1" zoomScale="111" zoomScaleNormal="111" workbookViewId="0">
      <pane xSplit="2" ySplit="2" topLeftCell="D118" activePane="bottomRight" state="frozen"/>
      <selection pane="topRight" activeCell="B1" sqref="B1"/>
      <selection pane="bottomLeft" activeCell="A2" sqref="A2"/>
      <selection pane="bottomRight" activeCell="D138" sqref="D138"/>
    </sheetView>
  </sheetViews>
  <sheetFormatPr baseColWidth="10" defaultColWidth="9.1640625" defaultRowHeight="15" x14ac:dyDescent="0.2"/>
  <cols>
    <col min="1" max="1" width="30.6640625" style="1" bestFit="1" customWidth="1"/>
    <col min="2" max="2" width="32.6640625" style="1" bestFit="1" customWidth="1"/>
    <col min="3" max="16" width="14.5" style="14" customWidth="1"/>
    <col min="17" max="16384" width="9.1640625" style="1"/>
  </cols>
  <sheetData>
    <row r="1" spans="1:16" ht="31.5" customHeight="1" x14ac:dyDescent="0.2">
      <c r="A1" s="23" t="s">
        <v>144</v>
      </c>
      <c r="B1" s="28" t="s">
        <v>136</v>
      </c>
      <c r="C1" s="25" t="s">
        <v>138</v>
      </c>
      <c r="D1" s="25"/>
      <c r="E1" s="27" t="s">
        <v>139</v>
      </c>
      <c r="F1" s="26"/>
      <c r="G1" s="27" t="s">
        <v>140</v>
      </c>
      <c r="H1" s="26"/>
      <c r="I1" s="25" t="s">
        <v>154</v>
      </c>
      <c r="J1" s="26"/>
      <c r="K1" s="30" t="s">
        <v>143</v>
      </c>
      <c r="L1" s="31"/>
      <c r="M1" s="27" t="s">
        <v>155</v>
      </c>
      <c r="N1" s="26"/>
      <c r="O1" s="27" t="s">
        <v>156</v>
      </c>
      <c r="P1" s="26"/>
    </row>
    <row r="2" spans="1:16" ht="84" customHeight="1" thickBot="1" x14ac:dyDescent="0.25">
      <c r="A2" s="24"/>
      <c r="B2" s="29"/>
      <c r="C2" s="3" t="s">
        <v>141</v>
      </c>
      <c r="D2" s="3" t="s">
        <v>137</v>
      </c>
      <c r="E2" s="4" t="s">
        <v>153</v>
      </c>
      <c r="F2" s="2" t="s">
        <v>142</v>
      </c>
      <c r="G2" s="4" t="s">
        <v>141</v>
      </c>
      <c r="H2" s="2" t="s">
        <v>142</v>
      </c>
      <c r="I2" s="3" t="s">
        <v>141</v>
      </c>
      <c r="J2" s="2" t="s">
        <v>142</v>
      </c>
      <c r="K2" s="4" t="s">
        <v>141</v>
      </c>
      <c r="L2" s="2" t="s">
        <v>142</v>
      </c>
      <c r="M2" s="4" t="s">
        <v>141</v>
      </c>
      <c r="N2" s="2" t="s">
        <v>142</v>
      </c>
      <c r="O2" s="4" t="s">
        <v>141</v>
      </c>
      <c r="P2" s="2" t="s">
        <v>142</v>
      </c>
    </row>
    <row r="3" spans="1:16" x14ac:dyDescent="0.2">
      <c r="A3" s="5" t="s">
        <v>0</v>
      </c>
      <c r="B3" s="6" t="s">
        <v>0</v>
      </c>
      <c r="C3" s="5">
        <v>106542</v>
      </c>
      <c r="D3" s="15">
        <v>16683</v>
      </c>
      <c r="E3" s="19">
        <f>G3+M3</f>
        <v>32105</v>
      </c>
      <c r="F3" s="20">
        <f>(E3/C3)*100</f>
        <v>30.133656210696252</v>
      </c>
      <c r="G3" s="5">
        <v>31548</v>
      </c>
      <c r="H3" s="16">
        <f>(G3/C3)*100</f>
        <v>29.610857689925101</v>
      </c>
      <c r="I3" s="19">
        <f>K3+M3</f>
        <v>13135</v>
      </c>
      <c r="J3" s="16">
        <f>(I3/C3)*100</f>
        <v>12.32847140094986</v>
      </c>
      <c r="K3" s="5">
        <v>12578</v>
      </c>
      <c r="L3" s="16">
        <f>(K3/C3)*100</f>
        <v>11.80567288017871</v>
      </c>
      <c r="M3" s="5">
        <v>557</v>
      </c>
      <c r="N3" s="16">
        <f>(M3/C3)*100</f>
        <v>0.5227985207711513</v>
      </c>
      <c r="O3" s="15">
        <v>61859</v>
      </c>
      <c r="P3" s="16">
        <f>(O3/C3)*100</f>
        <v>58.060670909125044</v>
      </c>
    </row>
    <row r="4" spans="1:16" x14ac:dyDescent="0.2">
      <c r="A4" s="10" t="s">
        <v>1</v>
      </c>
      <c r="B4" s="11" t="s">
        <v>1</v>
      </c>
      <c r="C4" s="10">
        <v>69470</v>
      </c>
      <c r="D4">
        <v>18965</v>
      </c>
      <c r="E4" s="7">
        <f t="shared" ref="E4:E67" si="0">G4+M4</f>
        <v>16150</v>
      </c>
      <c r="F4" s="8">
        <f t="shared" ref="F4:F67" si="1">(E4/C4)*100</f>
        <v>23.247444940261982</v>
      </c>
      <c r="G4" s="10">
        <v>7378</v>
      </c>
      <c r="H4" s="9">
        <f t="shared" ref="H4:H67" si="2">(G4/C4)*100</f>
        <v>10.620411688498631</v>
      </c>
      <c r="I4" s="7">
        <f t="shared" ref="I4:I67" si="3">K4+M4</f>
        <v>40153</v>
      </c>
      <c r="J4" s="9">
        <f t="shared" ref="J4:J67" si="4">(I4/C4)*100</f>
        <v>57.799049949618542</v>
      </c>
      <c r="K4" s="10">
        <v>31381</v>
      </c>
      <c r="L4" s="9">
        <f t="shared" ref="L4:L67" si="5">(K4/C4)*100</f>
        <v>45.172016697855192</v>
      </c>
      <c r="M4" s="10">
        <v>8772</v>
      </c>
      <c r="N4" s="9">
        <f t="shared" ref="N4:N67" si="6">(M4/C4)*100</f>
        <v>12.627033251763351</v>
      </c>
      <c r="O4">
        <v>21939</v>
      </c>
      <c r="P4" s="9">
        <f t="shared" ref="P4:P67" si="7">(O4/C4)*100</f>
        <v>31.580538361882827</v>
      </c>
    </row>
    <row r="5" spans="1:16" x14ac:dyDescent="0.2">
      <c r="A5" s="10" t="s">
        <v>2</v>
      </c>
      <c r="B5" s="11" t="s">
        <v>2</v>
      </c>
      <c r="C5" s="10">
        <v>61484</v>
      </c>
      <c r="D5">
        <v>10377</v>
      </c>
      <c r="E5" s="7">
        <f t="shared" si="0"/>
        <v>18390</v>
      </c>
      <c r="F5" s="8">
        <f t="shared" si="1"/>
        <v>29.910220545182487</v>
      </c>
      <c r="G5" s="10">
        <v>15494</v>
      </c>
      <c r="H5" s="9">
        <f t="shared" si="2"/>
        <v>25.200052046060762</v>
      </c>
      <c r="I5" s="7">
        <f t="shared" si="3"/>
        <v>10198</v>
      </c>
      <c r="J5" s="9">
        <f t="shared" si="4"/>
        <v>16.586428989655847</v>
      </c>
      <c r="K5" s="10">
        <v>7302</v>
      </c>
      <c r="L5" s="9">
        <f t="shared" si="5"/>
        <v>11.876260490534122</v>
      </c>
      <c r="M5" s="10">
        <v>2896</v>
      </c>
      <c r="N5" s="9">
        <f t="shared" si="6"/>
        <v>4.7101684991217221</v>
      </c>
      <c r="O5">
        <v>35792</v>
      </c>
      <c r="P5" s="9">
        <f t="shared" si="7"/>
        <v>58.213518964283395</v>
      </c>
    </row>
    <row r="6" spans="1:16" x14ac:dyDescent="0.2">
      <c r="A6" s="10" t="s">
        <v>3</v>
      </c>
      <c r="B6" s="11" t="s">
        <v>3</v>
      </c>
      <c r="C6" s="10">
        <v>54298</v>
      </c>
      <c r="D6">
        <v>9751</v>
      </c>
      <c r="E6" s="7">
        <f t="shared" si="0"/>
        <v>18914</v>
      </c>
      <c r="F6" s="8">
        <f t="shared" si="1"/>
        <v>34.8336955320638</v>
      </c>
      <c r="G6" s="10">
        <v>15024</v>
      </c>
      <c r="H6" s="9">
        <f t="shared" si="2"/>
        <v>27.669527422741169</v>
      </c>
      <c r="I6" s="7">
        <f t="shared" si="3"/>
        <v>16744</v>
      </c>
      <c r="J6" s="9">
        <f t="shared" si="4"/>
        <v>30.837231573906958</v>
      </c>
      <c r="K6" s="10">
        <v>12854</v>
      </c>
      <c r="L6" s="9">
        <f t="shared" si="5"/>
        <v>23.673063464584331</v>
      </c>
      <c r="M6" s="10">
        <v>3890</v>
      </c>
      <c r="N6" s="9">
        <f t="shared" si="6"/>
        <v>7.1641681093226275</v>
      </c>
      <c r="O6">
        <v>22530</v>
      </c>
      <c r="P6" s="9">
        <f t="shared" si="7"/>
        <v>41.493241003351869</v>
      </c>
    </row>
    <row r="7" spans="1:16" x14ac:dyDescent="0.2">
      <c r="A7" s="10" t="s">
        <v>4</v>
      </c>
      <c r="B7" s="11" t="s">
        <v>4</v>
      </c>
      <c r="C7" s="10">
        <v>33732</v>
      </c>
      <c r="D7">
        <v>7614</v>
      </c>
      <c r="E7" s="7">
        <f t="shared" si="0"/>
        <v>15196</v>
      </c>
      <c r="F7" s="8">
        <f t="shared" si="1"/>
        <v>45.049211431281869</v>
      </c>
      <c r="G7" s="10">
        <v>11276</v>
      </c>
      <c r="H7" s="9">
        <f t="shared" si="2"/>
        <v>33.42819874303332</v>
      </c>
      <c r="I7" s="7">
        <f t="shared" si="3"/>
        <v>10099</v>
      </c>
      <c r="J7" s="9">
        <f t="shared" si="4"/>
        <v>29.938930392505629</v>
      </c>
      <c r="K7" s="10">
        <v>6179</v>
      </c>
      <c r="L7" s="9">
        <f t="shared" si="5"/>
        <v>18.317917704257088</v>
      </c>
      <c r="M7" s="10">
        <v>3920</v>
      </c>
      <c r="N7" s="9">
        <f t="shared" si="6"/>
        <v>11.621012688248546</v>
      </c>
      <c r="O7">
        <v>12357</v>
      </c>
      <c r="P7" s="9">
        <f t="shared" si="7"/>
        <v>36.632870864461047</v>
      </c>
    </row>
    <row r="8" spans="1:16" x14ac:dyDescent="0.2">
      <c r="A8" s="10" t="s">
        <v>5</v>
      </c>
      <c r="B8" s="11" t="s">
        <v>5</v>
      </c>
      <c r="C8" s="10">
        <v>21611</v>
      </c>
      <c r="D8">
        <v>4800</v>
      </c>
      <c r="E8" s="7">
        <f t="shared" si="0"/>
        <v>5590</v>
      </c>
      <c r="F8" s="8">
        <f t="shared" si="1"/>
        <v>25.866456896950631</v>
      </c>
      <c r="G8" s="10">
        <v>5070</v>
      </c>
      <c r="H8" s="9">
        <f t="shared" si="2"/>
        <v>23.460274860024988</v>
      </c>
      <c r="I8" s="7">
        <f t="shared" si="3"/>
        <v>1571</v>
      </c>
      <c r="J8" s="9">
        <f t="shared" si="4"/>
        <v>7.2694461154041923</v>
      </c>
      <c r="K8" s="10">
        <v>1051</v>
      </c>
      <c r="L8" s="9">
        <f t="shared" si="5"/>
        <v>4.8632640784785526</v>
      </c>
      <c r="M8" s="10">
        <v>520</v>
      </c>
      <c r="N8" s="9">
        <f t="shared" si="6"/>
        <v>2.4061820369256397</v>
      </c>
      <c r="O8">
        <v>14970</v>
      </c>
      <c r="P8" s="9">
        <f t="shared" si="7"/>
        <v>69.270279024570826</v>
      </c>
    </row>
    <row r="9" spans="1:16" x14ac:dyDescent="0.2">
      <c r="A9" s="10" t="s">
        <v>7</v>
      </c>
      <c r="B9" s="11" t="s">
        <v>7</v>
      </c>
      <c r="C9" s="10">
        <v>14286</v>
      </c>
      <c r="D9">
        <v>2612</v>
      </c>
      <c r="E9" s="7">
        <f t="shared" si="0"/>
        <v>4485</v>
      </c>
      <c r="F9" s="8">
        <f t="shared" si="1"/>
        <v>31.39437211255775</v>
      </c>
      <c r="G9" s="10">
        <v>3359</v>
      </c>
      <c r="H9" s="9">
        <f t="shared" si="2"/>
        <v>23.512529749405012</v>
      </c>
      <c r="I9" s="7">
        <f t="shared" si="3"/>
        <v>3992</v>
      </c>
      <c r="J9" s="9">
        <f t="shared" si="4"/>
        <v>27.943441131177376</v>
      </c>
      <c r="K9" s="10">
        <v>2866</v>
      </c>
      <c r="L9" s="9">
        <f t="shared" si="5"/>
        <v>20.061598768024638</v>
      </c>
      <c r="M9" s="10">
        <v>1126</v>
      </c>
      <c r="N9" s="9">
        <f t="shared" si="6"/>
        <v>7.881842363152737</v>
      </c>
      <c r="O9">
        <v>6935</v>
      </c>
      <c r="P9" s="9">
        <f t="shared" si="7"/>
        <v>48.544029119417615</v>
      </c>
    </row>
    <row r="10" spans="1:16" x14ac:dyDescent="0.2">
      <c r="A10" s="10" t="s">
        <v>9</v>
      </c>
      <c r="B10" s="11" t="s">
        <v>9</v>
      </c>
      <c r="C10" s="10">
        <v>10667</v>
      </c>
      <c r="D10">
        <v>1900</v>
      </c>
      <c r="E10" s="7">
        <f t="shared" si="0"/>
        <v>3432</v>
      </c>
      <c r="F10" s="8">
        <f t="shared" si="1"/>
        <v>32.173994562669918</v>
      </c>
      <c r="G10" s="10">
        <v>2080</v>
      </c>
      <c r="H10" s="9">
        <f t="shared" si="2"/>
        <v>19.499390644042375</v>
      </c>
      <c r="I10" s="7">
        <f t="shared" si="3"/>
        <v>4014</v>
      </c>
      <c r="J10" s="9">
        <f t="shared" si="4"/>
        <v>37.630074060185621</v>
      </c>
      <c r="K10" s="10">
        <v>2662</v>
      </c>
      <c r="L10" s="9">
        <f t="shared" si="5"/>
        <v>24.955470141558074</v>
      </c>
      <c r="M10" s="10">
        <v>1352</v>
      </c>
      <c r="N10" s="9">
        <f t="shared" si="6"/>
        <v>12.674603918627541</v>
      </c>
      <c r="O10">
        <v>4573</v>
      </c>
      <c r="P10" s="9">
        <f t="shared" si="7"/>
        <v>42.870535295772008</v>
      </c>
    </row>
    <row r="11" spans="1:16" x14ac:dyDescent="0.2">
      <c r="A11" s="10" t="s">
        <v>6</v>
      </c>
      <c r="B11" s="11" t="s">
        <v>6</v>
      </c>
      <c r="C11" s="10">
        <v>9610</v>
      </c>
      <c r="D11">
        <v>2423</v>
      </c>
      <c r="E11" s="7">
        <f t="shared" si="0"/>
        <v>3949</v>
      </c>
      <c r="F11" s="8">
        <f t="shared" si="1"/>
        <v>41.092611862643082</v>
      </c>
      <c r="G11" s="10">
        <v>3315</v>
      </c>
      <c r="H11" s="9">
        <f t="shared" si="2"/>
        <v>34.495317377731524</v>
      </c>
      <c r="I11" s="7">
        <f t="shared" si="3"/>
        <v>2225</v>
      </c>
      <c r="J11" s="9">
        <f t="shared" si="4"/>
        <v>23.152965660770029</v>
      </c>
      <c r="K11" s="10">
        <v>1591</v>
      </c>
      <c r="L11" s="9">
        <f t="shared" si="5"/>
        <v>16.555671175858482</v>
      </c>
      <c r="M11" s="10">
        <v>634</v>
      </c>
      <c r="N11" s="9">
        <f t="shared" si="6"/>
        <v>6.5972944849115507</v>
      </c>
      <c r="O11">
        <v>4070</v>
      </c>
      <c r="P11" s="9">
        <f t="shared" si="7"/>
        <v>42.35171696149844</v>
      </c>
    </row>
    <row r="12" spans="1:16" x14ac:dyDescent="0.2">
      <c r="A12" s="10" t="s">
        <v>145</v>
      </c>
      <c r="B12" s="11" t="s">
        <v>13</v>
      </c>
      <c r="C12" s="10">
        <v>9547</v>
      </c>
      <c r="D12">
        <v>1595</v>
      </c>
      <c r="E12" s="7">
        <f t="shared" si="0"/>
        <v>2011</v>
      </c>
      <c r="F12" s="8">
        <f t="shared" si="1"/>
        <v>21.064208651932546</v>
      </c>
      <c r="G12" s="10">
        <v>2011</v>
      </c>
      <c r="H12" s="9">
        <f t="shared" si="2"/>
        <v>21.064208651932546</v>
      </c>
      <c r="I12" s="7">
        <f t="shared" si="3"/>
        <v>0</v>
      </c>
      <c r="J12" s="9">
        <f t="shared" si="4"/>
        <v>0</v>
      </c>
      <c r="K12" s="10">
        <v>0</v>
      </c>
      <c r="L12" s="9">
        <f t="shared" si="5"/>
        <v>0</v>
      </c>
      <c r="M12" s="10">
        <v>0</v>
      </c>
      <c r="N12" s="9">
        <f t="shared" si="6"/>
        <v>0</v>
      </c>
      <c r="O12">
        <v>7536</v>
      </c>
      <c r="P12" s="9">
        <f t="shared" si="7"/>
        <v>78.935791348067454</v>
      </c>
    </row>
    <row r="13" spans="1:16" x14ac:dyDescent="0.2">
      <c r="A13" s="10" t="s">
        <v>145</v>
      </c>
      <c r="B13" s="11" t="s">
        <v>21</v>
      </c>
      <c r="C13" s="10">
        <v>8718</v>
      </c>
      <c r="D13">
        <v>1233</v>
      </c>
      <c r="E13" s="7">
        <f t="shared" si="0"/>
        <v>2531</v>
      </c>
      <c r="F13" s="8">
        <f t="shared" si="1"/>
        <v>29.03188804771737</v>
      </c>
      <c r="G13" s="10">
        <v>867</v>
      </c>
      <c r="H13" s="9">
        <f t="shared" si="2"/>
        <v>9.9449415003441146</v>
      </c>
      <c r="I13" s="7">
        <f t="shared" si="3"/>
        <v>5475</v>
      </c>
      <c r="J13" s="9">
        <f t="shared" si="4"/>
        <v>62.801101169993125</v>
      </c>
      <c r="K13" s="10">
        <v>3811</v>
      </c>
      <c r="L13" s="9">
        <f t="shared" si="5"/>
        <v>43.714154622619866</v>
      </c>
      <c r="M13" s="10">
        <v>1664</v>
      </c>
      <c r="N13" s="9">
        <f t="shared" si="6"/>
        <v>19.086946547373252</v>
      </c>
      <c r="O13">
        <v>2376</v>
      </c>
      <c r="P13" s="9">
        <f t="shared" si="7"/>
        <v>27.253957329662764</v>
      </c>
    </row>
    <row r="14" spans="1:16" x14ac:dyDescent="0.2">
      <c r="A14" s="10" t="s">
        <v>8</v>
      </c>
      <c r="B14" s="11" t="s">
        <v>8</v>
      </c>
      <c r="C14" s="10">
        <v>6622</v>
      </c>
      <c r="D14">
        <v>2029</v>
      </c>
      <c r="E14" s="7">
        <f t="shared" si="0"/>
        <v>517</v>
      </c>
      <c r="F14" s="8">
        <f t="shared" si="1"/>
        <v>7.8073089700996672</v>
      </c>
      <c r="G14" s="10">
        <v>146</v>
      </c>
      <c r="H14" s="9">
        <f t="shared" si="2"/>
        <v>2.2047719722138326</v>
      </c>
      <c r="I14" s="7">
        <f t="shared" si="3"/>
        <v>3512</v>
      </c>
      <c r="J14" s="9">
        <f t="shared" si="4"/>
        <v>53.035336756266993</v>
      </c>
      <c r="K14" s="10">
        <v>3141</v>
      </c>
      <c r="L14" s="9">
        <f t="shared" si="5"/>
        <v>47.432799758381158</v>
      </c>
      <c r="M14" s="10">
        <v>371</v>
      </c>
      <c r="N14" s="9">
        <f t="shared" si="6"/>
        <v>5.602536997885835</v>
      </c>
      <c r="O14">
        <v>2964</v>
      </c>
      <c r="P14" s="9">
        <f t="shared" si="7"/>
        <v>44.75989127151918</v>
      </c>
    </row>
    <row r="15" spans="1:16" x14ac:dyDescent="0.2">
      <c r="A15" s="10" t="s">
        <v>10</v>
      </c>
      <c r="B15" s="11" t="s">
        <v>10</v>
      </c>
      <c r="C15" s="10">
        <v>6239</v>
      </c>
      <c r="D15">
        <v>1572</v>
      </c>
      <c r="E15" s="7">
        <f t="shared" si="0"/>
        <v>1614</v>
      </c>
      <c r="F15" s="8">
        <f t="shared" si="1"/>
        <v>25.869530373457284</v>
      </c>
      <c r="G15" s="10">
        <v>1428</v>
      </c>
      <c r="H15" s="9">
        <f t="shared" si="2"/>
        <v>22.888283378746593</v>
      </c>
      <c r="I15" s="7">
        <f t="shared" si="3"/>
        <v>1335</v>
      </c>
      <c r="J15" s="9">
        <f t="shared" si="4"/>
        <v>21.397659881391249</v>
      </c>
      <c r="K15" s="10">
        <v>1149</v>
      </c>
      <c r="L15" s="9">
        <f t="shared" si="5"/>
        <v>18.416412886680558</v>
      </c>
      <c r="M15" s="10">
        <v>186</v>
      </c>
      <c r="N15" s="9">
        <f t="shared" si="6"/>
        <v>2.9812469947106908</v>
      </c>
      <c r="O15">
        <v>3476</v>
      </c>
      <c r="P15" s="9">
        <f t="shared" si="7"/>
        <v>55.714056739862158</v>
      </c>
    </row>
    <row r="16" spans="1:16" x14ac:dyDescent="0.2">
      <c r="A16" s="10" t="s">
        <v>18</v>
      </c>
      <c r="B16" s="11" t="s">
        <v>18</v>
      </c>
      <c r="C16" s="10">
        <v>6138</v>
      </c>
      <c r="D16">
        <v>1124</v>
      </c>
      <c r="E16" s="7">
        <f t="shared" si="0"/>
        <v>1674</v>
      </c>
      <c r="F16" s="8">
        <f t="shared" si="1"/>
        <v>27.27272727272727</v>
      </c>
      <c r="G16" s="10">
        <v>1017</v>
      </c>
      <c r="H16" s="9">
        <f t="shared" si="2"/>
        <v>16.568914956011728</v>
      </c>
      <c r="I16" s="7">
        <f t="shared" si="3"/>
        <v>1593</v>
      </c>
      <c r="J16" s="9">
        <f t="shared" si="4"/>
        <v>25.953079178885631</v>
      </c>
      <c r="K16" s="10">
        <v>936</v>
      </c>
      <c r="L16" s="9">
        <f t="shared" si="5"/>
        <v>15.249266862170089</v>
      </c>
      <c r="M16" s="10">
        <v>657</v>
      </c>
      <c r="N16" s="9">
        <f t="shared" si="6"/>
        <v>10.703812316715542</v>
      </c>
      <c r="O16">
        <v>3528</v>
      </c>
      <c r="P16" s="9">
        <f t="shared" si="7"/>
        <v>57.478005865102645</v>
      </c>
    </row>
    <row r="17" spans="1:16" x14ac:dyDescent="0.2">
      <c r="A17" s="10" t="s">
        <v>12</v>
      </c>
      <c r="B17" s="11" t="s">
        <v>12</v>
      </c>
      <c r="C17" s="10">
        <v>6133</v>
      </c>
      <c r="D17">
        <v>1181</v>
      </c>
      <c r="E17" s="7">
        <f t="shared" si="0"/>
        <v>2233</v>
      </c>
      <c r="F17" s="8">
        <f t="shared" si="1"/>
        <v>36.409587477580303</v>
      </c>
      <c r="G17" s="10">
        <v>1602</v>
      </c>
      <c r="H17" s="9">
        <f t="shared" si="2"/>
        <v>26.120984836132401</v>
      </c>
      <c r="I17" s="7">
        <f t="shared" si="3"/>
        <v>1923</v>
      </c>
      <c r="J17" s="9">
        <f t="shared" si="4"/>
        <v>31.354964943746943</v>
      </c>
      <c r="K17" s="10">
        <v>1292</v>
      </c>
      <c r="L17" s="9">
        <f t="shared" si="5"/>
        <v>21.066362302299037</v>
      </c>
      <c r="M17" s="10">
        <v>631</v>
      </c>
      <c r="N17" s="9">
        <f t="shared" si="6"/>
        <v>10.288602641447905</v>
      </c>
      <c r="O17">
        <v>2608</v>
      </c>
      <c r="P17" s="9">
        <f t="shared" si="7"/>
        <v>42.524050220120657</v>
      </c>
    </row>
    <row r="18" spans="1:16" x14ac:dyDescent="0.2">
      <c r="A18" s="10" t="s">
        <v>23</v>
      </c>
      <c r="B18" s="11" t="s">
        <v>23</v>
      </c>
      <c r="C18" s="10">
        <v>5229</v>
      </c>
      <c r="D18">
        <v>970</v>
      </c>
      <c r="E18" s="7">
        <f t="shared" si="0"/>
        <v>1643</v>
      </c>
      <c r="F18" s="8">
        <f t="shared" si="1"/>
        <v>31.420921782367568</v>
      </c>
      <c r="G18" s="10">
        <v>887</v>
      </c>
      <c r="H18" s="9">
        <f t="shared" si="2"/>
        <v>16.963090457066361</v>
      </c>
      <c r="I18" s="7">
        <f t="shared" si="3"/>
        <v>1477</v>
      </c>
      <c r="J18" s="9">
        <f t="shared" si="4"/>
        <v>28.246318607764394</v>
      </c>
      <c r="K18" s="10">
        <v>721</v>
      </c>
      <c r="L18" s="9">
        <f t="shared" si="5"/>
        <v>13.788487282463185</v>
      </c>
      <c r="M18" s="10">
        <v>756</v>
      </c>
      <c r="N18" s="9">
        <f t="shared" si="6"/>
        <v>14.457831325301203</v>
      </c>
      <c r="O18">
        <v>2865</v>
      </c>
      <c r="P18" s="9">
        <f t="shared" si="7"/>
        <v>54.790590935169249</v>
      </c>
    </row>
    <row r="19" spans="1:16" x14ac:dyDescent="0.2">
      <c r="A19" s="10" t="s">
        <v>146</v>
      </c>
      <c r="B19" s="11" t="s">
        <v>19</v>
      </c>
      <c r="C19" s="10">
        <v>5208</v>
      </c>
      <c r="D19">
        <v>785</v>
      </c>
      <c r="E19" s="7">
        <f t="shared" si="0"/>
        <v>1480</v>
      </c>
      <c r="F19" s="8">
        <f t="shared" si="1"/>
        <v>28.417818740399387</v>
      </c>
      <c r="G19" s="10">
        <v>1480</v>
      </c>
      <c r="H19" s="9">
        <f t="shared" si="2"/>
        <v>28.417818740399387</v>
      </c>
      <c r="I19" s="7">
        <f t="shared" si="3"/>
        <v>0</v>
      </c>
      <c r="J19" s="9">
        <f t="shared" si="4"/>
        <v>0</v>
      </c>
      <c r="K19" s="10">
        <v>0</v>
      </c>
      <c r="L19" s="9">
        <f t="shared" si="5"/>
        <v>0</v>
      </c>
      <c r="M19" s="10">
        <v>0</v>
      </c>
      <c r="N19" s="9">
        <f t="shared" si="6"/>
        <v>0</v>
      </c>
      <c r="O19">
        <v>3728</v>
      </c>
      <c r="P19" s="9">
        <f t="shared" si="7"/>
        <v>71.582181259600617</v>
      </c>
    </row>
    <row r="20" spans="1:16" x14ac:dyDescent="0.2">
      <c r="A20" s="10" t="s">
        <v>11</v>
      </c>
      <c r="B20" s="11" t="s">
        <v>11</v>
      </c>
      <c r="C20" s="10">
        <v>5081</v>
      </c>
      <c r="D20">
        <v>1401</v>
      </c>
      <c r="E20" s="7">
        <f t="shared" si="0"/>
        <v>1448</v>
      </c>
      <c r="F20" s="8">
        <f t="shared" si="1"/>
        <v>28.498327100964378</v>
      </c>
      <c r="G20" s="10">
        <v>1448</v>
      </c>
      <c r="H20" s="9">
        <f t="shared" si="2"/>
        <v>28.498327100964378</v>
      </c>
      <c r="I20" s="7">
        <f t="shared" si="3"/>
        <v>0</v>
      </c>
      <c r="J20" s="9">
        <f t="shared" si="4"/>
        <v>0</v>
      </c>
      <c r="K20" s="10">
        <v>0</v>
      </c>
      <c r="L20" s="9">
        <f t="shared" si="5"/>
        <v>0</v>
      </c>
      <c r="M20" s="10">
        <v>0</v>
      </c>
      <c r="N20" s="9">
        <f t="shared" si="6"/>
        <v>0</v>
      </c>
      <c r="O20">
        <v>3633</v>
      </c>
      <c r="P20" s="9">
        <f t="shared" si="7"/>
        <v>71.501672899035611</v>
      </c>
    </row>
    <row r="21" spans="1:16" x14ac:dyDescent="0.2">
      <c r="A21" s="10" t="s">
        <v>65</v>
      </c>
      <c r="B21" s="11" t="s">
        <v>15</v>
      </c>
      <c r="C21" s="10">
        <v>4746</v>
      </c>
      <c r="D21">
        <v>861</v>
      </c>
      <c r="E21" s="7">
        <f t="shared" si="0"/>
        <v>1563</v>
      </c>
      <c r="F21" s="8">
        <f t="shared" si="1"/>
        <v>32.932996207332486</v>
      </c>
      <c r="G21" s="10">
        <v>1563</v>
      </c>
      <c r="H21" s="9">
        <f t="shared" si="2"/>
        <v>32.932996207332486</v>
      </c>
      <c r="I21" s="7">
        <f t="shared" si="3"/>
        <v>0</v>
      </c>
      <c r="J21" s="9">
        <f t="shared" si="4"/>
        <v>0</v>
      </c>
      <c r="K21" s="10">
        <v>0</v>
      </c>
      <c r="L21" s="9">
        <f t="shared" si="5"/>
        <v>0</v>
      </c>
      <c r="M21" s="10">
        <v>0</v>
      </c>
      <c r="N21" s="9">
        <f t="shared" si="6"/>
        <v>0</v>
      </c>
      <c r="O21">
        <v>3183</v>
      </c>
      <c r="P21" s="9">
        <f t="shared" si="7"/>
        <v>67.067003792667506</v>
      </c>
    </row>
    <row r="22" spans="1:16" x14ac:dyDescent="0.2">
      <c r="A22" s="10" t="s">
        <v>24</v>
      </c>
      <c r="B22" s="11" t="s">
        <v>24</v>
      </c>
      <c r="C22" s="10">
        <v>4678</v>
      </c>
      <c r="D22">
        <v>963</v>
      </c>
      <c r="E22" s="7">
        <f t="shared" si="0"/>
        <v>2086</v>
      </c>
      <c r="F22" s="8">
        <f t="shared" si="1"/>
        <v>44.591705857203934</v>
      </c>
      <c r="G22" s="10">
        <v>185</v>
      </c>
      <c r="H22" s="9">
        <f t="shared" si="2"/>
        <v>3.9546814878153058</v>
      </c>
      <c r="I22" s="7">
        <f t="shared" si="3"/>
        <v>4356</v>
      </c>
      <c r="J22" s="9">
        <f t="shared" si="4"/>
        <v>93.11671654553227</v>
      </c>
      <c r="K22" s="10">
        <v>2455</v>
      </c>
      <c r="L22" s="9">
        <f t="shared" si="5"/>
        <v>52.479692176143658</v>
      </c>
      <c r="M22" s="10">
        <v>1901</v>
      </c>
      <c r="N22" s="9">
        <f t="shared" si="6"/>
        <v>40.637024369388627</v>
      </c>
      <c r="O22">
        <v>137</v>
      </c>
      <c r="P22" s="9">
        <f t="shared" si="7"/>
        <v>2.9286019666524155</v>
      </c>
    </row>
    <row r="23" spans="1:16" x14ac:dyDescent="0.2">
      <c r="A23" s="10" t="s">
        <v>17</v>
      </c>
      <c r="B23" s="11" t="s">
        <v>17</v>
      </c>
      <c r="C23" s="10">
        <v>4287</v>
      </c>
      <c r="D23">
        <v>1196</v>
      </c>
      <c r="E23" s="7">
        <f t="shared" si="0"/>
        <v>1003</v>
      </c>
      <c r="F23" s="8">
        <f t="shared" si="1"/>
        <v>23.396314439001635</v>
      </c>
      <c r="G23" s="10">
        <v>737</v>
      </c>
      <c r="H23" s="9">
        <f t="shared" si="2"/>
        <v>17.191509213902496</v>
      </c>
      <c r="I23" s="7">
        <f t="shared" si="3"/>
        <v>1123</v>
      </c>
      <c r="J23" s="9">
        <f t="shared" si="4"/>
        <v>26.195474690926059</v>
      </c>
      <c r="K23" s="10">
        <v>857</v>
      </c>
      <c r="L23" s="9">
        <f t="shared" si="5"/>
        <v>19.990669465826919</v>
      </c>
      <c r="M23" s="10">
        <v>266</v>
      </c>
      <c r="N23" s="9">
        <f t="shared" si="6"/>
        <v>6.204805225099137</v>
      </c>
      <c r="O23">
        <v>2427</v>
      </c>
      <c r="P23" s="9">
        <f t="shared" si="7"/>
        <v>56.613016095171453</v>
      </c>
    </row>
    <row r="24" spans="1:16" x14ac:dyDescent="0.2">
      <c r="A24" s="10" t="s">
        <v>25</v>
      </c>
      <c r="B24" s="11" t="s">
        <v>25</v>
      </c>
      <c r="C24" s="10">
        <v>4228</v>
      </c>
      <c r="D24">
        <v>975</v>
      </c>
      <c r="E24" s="7">
        <f t="shared" si="0"/>
        <v>1530</v>
      </c>
      <c r="F24" s="8">
        <f t="shared" si="1"/>
        <v>36.187322611163673</v>
      </c>
      <c r="G24" s="10">
        <v>301</v>
      </c>
      <c r="H24" s="9">
        <f t="shared" si="2"/>
        <v>7.1192052980132452</v>
      </c>
      <c r="I24" s="7">
        <f t="shared" si="3"/>
        <v>3405</v>
      </c>
      <c r="J24" s="9">
        <f t="shared" si="4"/>
        <v>80.53453169347209</v>
      </c>
      <c r="K24" s="10">
        <v>2176</v>
      </c>
      <c r="L24" s="9">
        <f t="shared" si="5"/>
        <v>51.466414380321666</v>
      </c>
      <c r="M24" s="10">
        <v>1229</v>
      </c>
      <c r="N24" s="9">
        <f t="shared" si="6"/>
        <v>29.068117313150427</v>
      </c>
      <c r="O24">
        <v>522</v>
      </c>
      <c r="P24" s="9">
        <f t="shared" si="7"/>
        <v>12.346263008514665</v>
      </c>
    </row>
    <row r="25" spans="1:16" x14ac:dyDescent="0.2">
      <c r="A25" s="10" t="s">
        <v>65</v>
      </c>
      <c r="B25" s="11" t="s">
        <v>65</v>
      </c>
      <c r="C25" s="10">
        <v>4033</v>
      </c>
      <c r="D25">
        <v>782</v>
      </c>
      <c r="E25" s="7">
        <f t="shared" si="0"/>
        <v>1179</v>
      </c>
      <c r="F25" s="8">
        <f t="shared" si="1"/>
        <v>29.233820976940244</v>
      </c>
      <c r="G25" s="10">
        <v>1179</v>
      </c>
      <c r="H25" s="9">
        <f t="shared" si="2"/>
        <v>29.233820976940244</v>
      </c>
      <c r="I25" s="7">
        <f t="shared" si="3"/>
        <v>0</v>
      </c>
      <c r="J25" s="9">
        <f t="shared" si="4"/>
        <v>0</v>
      </c>
      <c r="K25" s="10">
        <v>0</v>
      </c>
      <c r="L25" s="9">
        <f t="shared" si="5"/>
        <v>0</v>
      </c>
      <c r="M25" s="10">
        <v>0</v>
      </c>
      <c r="N25" s="9">
        <f t="shared" si="6"/>
        <v>0</v>
      </c>
      <c r="O25">
        <v>2854</v>
      </c>
      <c r="P25" s="9">
        <f t="shared" si="7"/>
        <v>70.766179023059763</v>
      </c>
    </row>
    <row r="26" spans="1:16" x14ac:dyDescent="0.2">
      <c r="A26" s="10" t="s">
        <v>35</v>
      </c>
      <c r="B26" s="11" t="s">
        <v>35</v>
      </c>
      <c r="C26" s="10">
        <v>3730</v>
      </c>
      <c r="D26">
        <v>681</v>
      </c>
      <c r="E26" s="7">
        <f t="shared" si="0"/>
        <v>629</v>
      </c>
      <c r="F26" s="8">
        <f t="shared" si="1"/>
        <v>16.863270777479894</v>
      </c>
      <c r="G26" s="10">
        <v>507</v>
      </c>
      <c r="H26" s="9">
        <f t="shared" si="2"/>
        <v>13.592493297587133</v>
      </c>
      <c r="I26" s="7">
        <f t="shared" si="3"/>
        <v>1121</v>
      </c>
      <c r="J26" s="9">
        <f t="shared" si="4"/>
        <v>30.053619302949063</v>
      </c>
      <c r="K26" s="10">
        <v>999</v>
      </c>
      <c r="L26" s="9">
        <f t="shared" si="5"/>
        <v>26.782841823056302</v>
      </c>
      <c r="M26" s="10">
        <v>122</v>
      </c>
      <c r="N26" s="9">
        <f t="shared" si="6"/>
        <v>3.2707774798927614</v>
      </c>
      <c r="O26">
        <v>2102</v>
      </c>
      <c r="P26" s="9">
        <f t="shared" si="7"/>
        <v>56.353887399463808</v>
      </c>
    </row>
    <row r="27" spans="1:16" x14ac:dyDescent="0.2">
      <c r="A27" s="10" t="s">
        <v>26</v>
      </c>
      <c r="B27" s="11" t="s">
        <v>26</v>
      </c>
      <c r="C27" s="10">
        <v>3543</v>
      </c>
      <c r="D27">
        <v>686</v>
      </c>
      <c r="E27" s="7">
        <f t="shared" si="0"/>
        <v>914</v>
      </c>
      <c r="F27" s="8">
        <f t="shared" si="1"/>
        <v>25.797346881174143</v>
      </c>
      <c r="G27" s="10">
        <v>914</v>
      </c>
      <c r="H27" s="9">
        <f t="shared" si="2"/>
        <v>25.797346881174143</v>
      </c>
      <c r="I27" s="7">
        <f t="shared" si="3"/>
        <v>0</v>
      </c>
      <c r="J27" s="9">
        <f t="shared" si="4"/>
        <v>0</v>
      </c>
      <c r="K27" s="10">
        <v>0</v>
      </c>
      <c r="L27" s="9">
        <f t="shared" si="5"/>
        <v>0</v>
      </c>
      <c r="M27" s="10">
        <v>0</v>
      </c>
      <c r="N27" s="9">
        <f t="shared" si="6"/>
        <v>0</v>
      </c>
      <c r="O27">
        <v>2629</v>
      </c>
      <c r="P27" s="9">
        <f t="shared" si="7"/>
        <v>74.20265311882585</v>
      </c>
    </row>
    <row r="28" spans="1:16" x14ac:dyDescent="0.2">
      <c r="A28" s="10" t="s">
        <v>147</v>
      </c>
      <c r="B28" s="11" t="s">
        <v>14</v>
      </c>
      <c r="C28" s="10">
        <v>3332</v>
      </c>
      <c r="D28">
        <v>963</v>
      </c>
      <c r="E28" s="7">
        <f t="shared" si="0"/>
        <v>978</v>
      </c>
      <c r="F28" s="8">
        <f t="shared" si="1"/>
        <v>29.351740696278512</v>
      </c>
      <c r="G28" s="10">
        <v>978</v>
      </c>
      <c r="H28" s="9">
        <f t="shared" si="2"/>
        <v>29.351740696278512</v>
      </c>
      <c r="I28" s="7">
        <f t="shared" si="3"/>
        <v>0</v>
      </c>
      <c r="J28" s="9">
        <f t="shared" si="4"/>
        <v>0</v>
      </c>
      <c r="K28" s="10">
        <v>0</v>
      </c>
      <c r="L28" s="9">
        <f t="shared" si="5"/>
        <v>0</v>
      </c>
      <c r="M28" s="10">
        <v>0</v>
      </c>
      <c r="N28" s="9">
        <f t="shared" si="6"/>
        <v>0</v>
      </c>
      <c r="O28">
        <v>2354</v>
      </c>
      <c r="P28" s="9">
        <f t="shared" si="7"/>
        <v>70.648259303721488</v>
      </c>
    </row>
    <row r="29" spans="1:16" x14ac:dyDescent="0.2">
      <c r="A29" s="10" t="s">
        <v>63</v>
      </c>
      <c r="B29" s="11" t="s">
        <v>63</v>
      </c>
      <c r="C29" s="10">
        <v>3293</v>
      </c>
      <c r="D29">
        <v>761</v>
      </c>
      <c r="E29" s="7">
        <f t="shared" si="0"/>
        <v>1497</v>
      </c>
      <c r="F29" s="8">
        <f t="shared" si="1"/>
        <v>45.460066808381413</v>
      </c>
      <c r="G29" s="10">
        <v>1497</v>
      </c>
      <c r="H29" s="9">
        <f t="shared" si="2"/>
        <v>45.460066808381413</v>
      </c>
      <c r="I29" s="7">
        <f t="shared" si="3"/>
        <v>0</v>
      </c>
      <c r="J29" s="9">
        <f t="shared" si="4"/>
        <v>0</v>
      </c>
      <c r="K29" s="10">
        <v>0</v>
      </c>
      <c r="L29" s="9">
        <f t="shared" si="5"/>
        <v>0</v>
      </c>
      <c r="M29" s="10">
        <v>0</v>
      </c>
      <c r="N29" s="9">
        <f t="shared" si="6"/>
        <v>0</v>
      </c>
      <c r="O29">
        <v>1796</v>
      </c>
      <c r="P29" s="9">
        <f t="shared" si="7"/>
        <v>54.539933191618587</v>
      </c>
    </row>
    <row r="30" spans="1:16" x14ac:dyDescent="0.2">
      <c r="A30" s="10" t="s">
        <v>45</v>
      </c>
      <c r="B30" s="11" t="s">
        <v>45</v>
      </c>
      <c r="C30" s="10">
        <v>3247</v>
      </c>
      <c r="D30">
        <v>556</v>
      </c>
      <c r="E30" s="7">
        <f t="shared" si="0"/>
        <v>932</v>
      </c>
      <c r="F30" s="8">
        <f t="shared" si="1"/>
        <v>28.703418540190945</v>
      </c>
      <c r="G30" s="10">
        <v>146</v>
      </c>
      <c r="H30" s="9">
        <f t="shared" si="2"/>
        <v>4.4964582691715433</v>
      </c>
      <c r="I30" s="7">
        <f t="shared" si="3"/>
        <v>2673</v>
      </c>
      <c r="J30" s="9">
        <f t="shared" si="4"/>
        <v>82.322143517092712</v>
      </c>
      <c r="K30" s="10">
        <v>1887</v>
      </c>
      <c r="L30" s="9">
        <f t="shared" si="5"/>
        <v>58.1151832460733</v>
      </c>
      <c r="M30" s="10">
        <v>786</v>
      </c>
      <c r="N30" s="9">
        <f t="shared" si="6"/>
        <v>24.206960271019405</v>
      </c>
      <c r="O30">
        <v>428</v>
      </c>
      <c r="P30" s="9">
        <f t="shared" si="7"/>
        <v>13.181398213735756</v>
      </c>
    </row>
    <row r="31" spans="1:16" x14ac:dyDescent="0.2">
      <c r="A31" s="10" t="s">
        <v>30</v>
      </c>
      <c r="B31" s="11" t="s">
        <v>20</v>
      </c>
      <c r="C31" s="10">
        <v>2915</v>
      </c>
      <c r="D31">
        <v>725</v>
      </c>
      <c r="E31" s="7">
        <f t="shared" si="0"/>
        <v>852</v>
      </c>
      <c r="F31" s="8">
        <f t="shared" si="1"/>
        <v>29.228130360205835</v>
      </c>
      <c r="G31" s="10">
        <v>767</v>
      </c>
      <c r="H31" s="9">
        <f t="shared" si="2"/>
        <v>26.312178387650086</v>
      </c>
      <c r="I31" s="7">
        <f t="shared" si="3"/>
        <v>617</v>
      </c>
      <c r="J31" s="9">
        <f t="shared" si="4"/>
        <v>21.166380789022298</v>
      </c>
      <c r="K31" s="10">
        <v>532</v>
      </c>
      <c r="L31" s="9">
        <f t="shared" si="5"/>
        <v>18.250428816466552</v>
      </c>
      <c r="M31" s="10">
        <v>85</v>
      </c>
      <c r="N31" s="9">
        <f t="shared" si="6"/>
        <v>2.9159519725557463</v>
      </c>
      <c r="O31">
        <v>1531</v>
      </c>
      <c r="P31" s="9">
        <f t="shared" si="7"/>
        <v>52.521440823327616</v>
      </c>
    </row>
    <row r="32" spans="1:16" x14ac:dyDescent="0.2">
      <c r="A32" s="10" t="s">
        <v>57</v>
      </c>
      <c r="B32" s="11" t="s">
        <v>16</v>
      </c>
      <c r="C32" s="10">
        <v>2880</v>
      </c>
      <c r="D32">
        <v>618</v>
      </c>
      <c r="E32" s="7">
        <f t="shared" si="0"/>
        <v>1816</v>
      </c>
      <c r="F32" s="8">
        <f t="shared" si="1"/>
        <v>63.055555555555557</v>
      </c>
      <c r="G32" s="10">
        <v>1816</v>
      </c>
      <c r="H32" s="9">
        <f t="shared" si="2"/>
        <v>63.055555555555557</v>
      </c>
      <c r="I32" s="7">
        <f t="shared" si="3"/>
        <v>0</v>
      </c>
      <c r="J32" s="9">
        <f t="shared" si="4"/>
        <v>0</v>
      </c>
      <c r="K32" s="10">
        <v>0</v>
      </c>
      <c r="L32" s="9">
        <f t="shared" si="5"/>
        <v>0</v>
      </c>
      <c r="M32" s="10">
        <v>0</v>
      </c>
      <c r="N32" s="9">
        <f t="shared" si="6"/>
        <v>0</v>
      </c>
      <c r="O32">
        <v>1064</v>
      </c>
      <c r="P32" s="9">
        <f t="shared" si="7"/>
        <v>36.944444444444443</v>
      </c>
    </row>
    <row r="33" spans="1:16" x14ac:dyDescent="0.2">
      <c r="A33" s="10" t="s">
        <v>27</v>
      </c>
      <c r="B33" s="11" t="s">
        <v>27</v>
      </c>
      <c r="C33" s="10">
        <v>2873</v>
      </c>
      <c r="D33">
        <v>602</v>
      </c>
      <c r="E33" s="7">
        <f t="shared" si="0"/>
        <v>825</v>
      </c>
      <c r="F33" s="8">
        <f t="shared" si="1"/>
        <v>28.715628263139575</v>
      </c>
      <c r="G33" s="10">
        <v>809</v>
      </c>
      <c r="H33" s="9">
        <f t="shared" si="2"/>
        <v>28.158719108945352</v>
      </c>
      <c r="I33" s="7">
        <f t="shared" si="3"/>
        <v>109</v>
      </c>
      <c r="J33" s="9">
        <f t="shared" si="4"/>
        <v>3.7939436129481376</v>
      </c>
      <c r="K33" s="10">
        <v>93</v>
      </c>
      <c r="L33" s="9">
        <f t="shared" si="5"/>
        <v>3.2370344587539157</v>
      </c>
      <c r="M33" s="10">
        <v>16</v>
      </c>
      <c r="N33" s="9">
        <f t="shared" si="6"/>
        <v>0.55690915419422216</v>
      </c>
      <c r="O33">
        <v>1955</v>
      </c>
      <c r="P33" s="9">
        <f t="shared" si="7"/>
        <v>68.047337278106511</v>
      </c>
    </row>
    <row r="34" spans="1:16" x14ac:dyDescent="0.2">
      <c r="A34" s="10" t="s">
        <v>30</v>
      </c>
      <c r="B34" s="11" t="s">
        <v>30</v>
      </c>
      <c r="C34" s="10">
        <v>2818</v>
      </c>
      <c r="D34">
        <v>681</v>
      </c>
      <c r="E34" s="7">
        <f t="shared" si="0"/>
        <v>1340</v>
      </c>
      <c r="F34" s="8">
        <f t="shared" si="1"/>
        <v>47.551454932576291</v>
      </c>
      <c r="G34" s="10">
        <v>477</v>
      </c>
      <c r="H34" s="9">
        <f t="shared" si="2"/>
        <v>16.926898509581264</v>
      </c>
      <c r="I34" s="7">
        <f t="shared" si="3"/>
        <v>1443</v>
      </c>
      <c r="J34" s="9">
        <f t="shared" si="4"/>
        <v>51.206529453513127</v>
      </c>
      <c r="K34" s="10">
        <v>580</v>
      </c>
      <c r="L34" s="9">
        <f t="shared" si="5"/>
        <v>20.581973030518096</v>
      </c>
      <c r="M34" s="10">
        <v>863</v>
      </c>
      <c r="N34" s="9">
        <f t="shared" si="6"/>
        <v>30.624556422995031</v>
      </c>
      <c r="O34">
        <v>898</v>
      </c>
      <c r="P34" s="9">
        <f t="shared" si="7"/>
        <v>31.866572036905605</v>
      </c>
    </row>
    <row r="35" spans="1:16" x14ac:dyDescent="0.2">
      <c r="A35" s="10" t="s">
        <v>28</v>
      </c>
      <c r="B35" s="11" t="s">
        <v>28</v>
      </c>
      <c r="C35" s="10">
        <v>2772</v>
      </c>
      <c r="D35">
        <v>509</v>
      </c>
      <c r="E35" s="7">
        <f t="shared" si="0"/>
        <v>836</v>
      </c>
      <c r="F35" s="8">
        <f t="shared" si="1"/>
        <v>30.158730158730158</v>
      </c>
      <c r="G35" s="10">
        <v>836</v>
      </c>
      <c r="H35" s="9">
        <f t="shared" si="2"/>
        <v>30.158730158730158</v>
      </c>
      <c r="I35" s="7">
        <f t="shared" si="3"/>
        <v>0</v>
      </c>
      <c r="J35" s="9">
        <f t="shared" si="4"/>
        <v>0</v>
      </c>
      <c r="K35" s="10">
        <v>0</v>
      </c>
      <c r="L35" s="9">
        <f t="shared" si="5"/>
        <v>0</v>
      </c>
      <c r="M35" s="10">
        <v>0</v>
      </c>
      <c r="N35" s="9">
        <f t="shared" si="6"/>
        <v>0</v>
      </c>
      <c r="O35">
        <v>1936</v>
      </c>
      <c r="P35" s="9">
        <f t="shared" si="7"/>
        <v>69.841269841269835</v>
      </c>
    </row>
    <row r="36" spans="1:16" x14ac:dyDescent="0.2">
      <c r="A36" s="10" t="s">
        <v>29</v>
      </c>
      <c r="B36" s="11" t="s">
        <v>29</v>
      </c>
      <c r="C36" s="10">
        <v>2699</v>
      </c>
      <c r="D36">
        <v>448</v>
      </c>
      <c r="E36" s="7">
        <f t="shared" si="0"/>
        <v>261</v>
      </c>
      <c r="F36" s="8">
        <f t="shared" si="1"/>
        <v>9.670248240088922</v>
      </c>
      <c r="G36" s="10">
        <v>261</v>
      </c>
      <c r="H36" s="9">
        <f t="shared" si="2"/>
        <v>9.670248240088922</v>
      </c>
      <c r="I36" s="7">
        <f t="shared" si="3"/>
        <v>0</v>
      </c>
      <c r="J36" s="9">
        <f t="shared" si="4"/>
        <v>0</v>
      </c>
      <c r="K36" s="10">
        <v>0</v>
      </c>
      <c r="L36" s="9">
        <f t="shared" si="5"/>
        <v>0</v>
      </c>
      <c r="M36" s="10">
        <v>0</v>
      </c>
      <c r="N36" s="9">
        <f t="shared" si="6"/>
        <v>0</v>
      </c>
      <c r="O36">
        <v>2438</v>
      </c>
      <c r="P36" s="9">
        <f t="shared" si="7"/>
        <v>90.329751759911076</v>
      </c>
    </row>
    <row r="37" spans="1:16" x14ac:dyDescent="0.2">
      <c r="A37" s="10" t="s">
        <v>36</v>
      </c>
      <c r="B37" s="11" t="s">
        <v>36</v>
      </c>
      <c r="C37" s="10">
        <v>2659</v>
      </c>
      <c r="D37">
        <v>442</v>
      </c>
      <c r="E37" s="7">
        <f t="shared" si="0"/>
        <v>684</v>
      </c>
      <c r="F37" s="8">
        <f t="shared" si="1"/>
        <v>25.723956374576908</v>
      </c>
      <c r="G37" s="10">
        <v>381</v>
      </c>
      <c r="H37" s="9">
        <f t="shared" si="2"/>
        <v>14.328694998119593</v>
      </c>
      <c r="I37" s="7">
        <f t="shared" si="3"/>
        <v>1135</v>
      </c>
      <c r="J37" s="9">
        <f t="shared" si="4"/>
        <v>42.685220007521622</v>
      </c>
      <c r="K37" s="10">
        <v>832</v>
      </c>
      <c r="L37" s="9">
        <f t="shared" si="5"/>
        <v>31.289958631064309</v>
      </c>
      <c r="M37" s="10">
        <v>303</v>
      </c>
      <c r="N37" s="9">
        <f t="shared" si="6"/>
        <v>11.395261376457315</v>
      </c>
      <c r="O37">
        <v>1143</v>
      </c>
      <c r="P37" s="9">
        <f t="shared" si="7"/>
        <v>42.986084994358784</v>
      </c>
    </row>
    <row r="38" spans="1:16" x14ac:dyDescent="0.2">
      <c r="A38" s="10" t="s">
        <v>152</v>
      </c>
      <c r="B38" s="11" t="s">
        <v>152</v>
      </c>
      <c r="C38" s="10">
        <v>2647</v>
      </c>
      <c r="D38">
        <v>481</v>
      </c>
      <c r="E38" s="7">
        <f t="shared" si="0"/>
        <v>764</v>
      </c>
      <c r="F38" s="8">
        <f t="shared" si="1"/>
        <v>28.862863619191536</v>
      </c>
      <c r="G38" s="10">
        <v>350</v>
      </c>
      <c r="H38" s="9">
        <f t="shared" si="2"/>
        <v>13.222516055912353</v>
      </c>
      <c r="I38" s="7">
        <f t="shared" si="3"/>
        <v>896</v>
      </c>
      <c r="J38" s="9">
        <f t="shared" si="4"/>
        <v>33.849641103135625</v>
      </c>
      <c r="K38" s="10">
        <v>482</v>
      </c>
      <c r="L38" s="9">
        <f t="shared" si="5"/>
        <v>18.209293539856443</v>
      </c>
      <c r="M38" s="10">
        <v>414</v>
      </c>
      <c r="N38" s="9">
        <f t="shared" si="6"/>
        <v>15.640347563279184</v>
      </c>
      <c r="O38">
        <v>1401</v>
      </c>
      <c r="P38" s="9">
        <f t="shared" si="7"/>
        <v>52.927842840952025</v>
      </c>
    </row>
    <row r="39" spans="1:16" x14ac:dyDescent="0.2">
      <c r="A39" s="10" t="s">
        <v>32</v>
      </c>
      <c r="B39" s="11" t="s">
        <v>32</v>
      </c>
      <c r="C39" s="10">
        <v>2635</v>
      </c>
      <c r="D39">
        <v>561</v>
      </c>
      <c r="E39" s="7">
        <f t="shared" si="0"/>
        <v>807</v>
      </c>
      <c r="F39" s="8">
        <f t="shared" si="1"/>
        <v>30.626185958254272</v>
      </c>
      <c r="G39" s="10">
        <v>203</v>
      </c>
      <c r="H39" s="9">
        <f t="shared" si="2"/>
        <v>7.7039848197343455</v>
      </c>
      <c r="I39" s="7">
        <f t="shared" si="3"/>
        <v>2045</v>
      </c>
      <c r="J39" s="9">
        <f t="shared" si="4"/>
        <v>77.60910815939279</v>
      </c>
      <c r="K39" s="10">
        <v>1441</v>
      </c>
      <c r="L39" s="9">
        <f t="shared" si="5"/>
        <v>54.686907020872866</v>
      </c>
      <c r="M39" s="10">
        <v>604</v>
      </c>
      <c r="N39" s="9">
        <f t="shared" si="6"/>
        <v>22.922201138519924</v>
      </c>
      <c r="O39">
        <v>387</v>
      </c>
      <c r="P39" s="9">
        <f t="shared" si="7"/>
        <v>14.686907020872866</v>
      </c>
    </row>
    <row r="40" spans="1:16" x14ac:dyDescent="0.2">
      <c r="A40" s="10" t="s">
        <v>84</v>
      </c>
      <c r="B40" s="11" t="s">
        <v>84</v>
      </c>
      <c r="C40" s="10">
        <v>2501</v>
      </c>
      <c r="D40">
        <v>365</v>
      </c>
      <c r="E40" s="7">
        <f t="shared" si="0"/>
        <v>29</v>
      </c>
      <c r="F40" s="8">
        <f t="shared" si="1"/>
        <v>1.1595361855257897</v>
      </c>
      <c r="G40" s="10">
        <v>29</v>
      </c>
      <c r="H40" s="9">
        <f t="shared" si="2"/>
        <v>1.1595361855257897</v>
      </c>
      <c r="I40" s="7">
        <f t="shared" si="3"/>
        <v>0</v>
      </c>
      <c r="J40" s="9">
        <f t="shared" si="4"/>
        <v>0</v>
      </c>
      <c r="K40" s="10">
        <v>0</v>
      </c>
      <c r="L40" s="9">
        <f t="shared" si="5"/>
        <v>0</v>
      </c>
      <c r="M40" s="10">
        <v>0</v>
      </c>
      <c r="N40" s="9">
        <f t="shared" si="6"/>
        <v>0</v>
      </c>
      <c r="O40">
        <v>2472</v>
      </c>
      <c r="P40" s="9">
        <f t="shared" si="7"/>
        <v>98.840463814474205</v>
      </c>
    </row>
    <row r="41" spans="1:16" x14ac:dyDescent="0.2">
      <c r="A41" s="10" t="s">
        <v>44</v>
      </c>
      <c r="B41" s="11" t="s">
        <v>44</v>
      </c>
      <c r="C41" s="10">
        <v>2265</v>
      </c>
      <c r="D41">
        <v>399</v>
      </c>
      <c r="E41" s="7">
        <f t="shared" si="0"/>
        <v>867</v>
      </c>
      <c r="F41" s="8">
        <f t="shared" si="1"/>
        <v>38.278145695364238</v>
      </c>
      <c r="G41" s="10">
        <v>196</v>
      </c>
      <c r="H41" s="9">
        <f t="shared" si="2"/>
        <v>8.6534216335540837</v>
      </c>
      <c r="I41" s="7">
        <f t="shared" si="3"/>
        <v>1660</v>
      </c>
      <c r="J41" s="9">
        <f t="shared" si="4"/>
        <v>73.289183222958059</v>
      </c>
      <c r="K41" s="10">
        <v>989</v>
      </c>
      <c r="L41" s="9">
        <f t="shared" si="5"/>
        <v>43.664459161147903</v>
      </c>
      <c r="M41" s="10">
        <v>671</v>
      </c>
      <c r="N41" s="9">
        <f t="shared" si="6"/>
        <v>29.624724061810152</v>
      </c>
      <c r="O41">
        <v>409</v>
      </c>
      <c r="P41" s="9">
        <f t="shared" si="7"/>
        <v>18.057395143487859</v>
      </c>
    </row>
    <row r="42" spans="1:16" x14ac:dyDescent="0.2">
      <c r="A42" s="10" t="s">
        <v>31</v>
      </c>
      <c r="B42" s="11" t="s">
        <v>31</v>
      </c>
      <c r="C42" s="10">
        <v>2244</v>
      </c>
      <c r="D42">
        <v>442</v>
      </c>
      <c r="E42" s="7">
        <f t="shared" si="0"/>
        <v>811</v>
      </c>
      <c r="F42" s="8">
        <f t="shared" si="1"/>
        <v>36.140819964349376</v>
      </c>
      <c r="G42" s="10">
        <v>717</v>
      </c>
      <c r="H42" s="9">
        <f t="shared" si="2"/>
        <v>31.951871657754012</v>
      </c>
      <c r="I42" s="7">
        <f t="shared" si="3"/>
        <v>409</v>
      </c>
      <c r="J42" s="9">
        <f t="shared" si="4"/>
        <v>18.226381461675579</v>
      </c>
      <c r="K42" s="10">
        <v>315</v>
      </c>
      <c r="L42" s="9">
        <f t="shared" si="5"/>
        <v>14.037433155080215</v>
      </c>
      <c r="M42" s="10">
        <v>94</v>
      </c>
      <c r="N42" s="9">
        <f t="shared" si="6"/>
        <v>4.1889483065953659</v>
      </c>
      <c r="O42">
        <v>1118</v>
      </c>
      <c r="P42" s="9">
        <f t="shared" si="7"/>
        <v>49.821746880570409</v>
      </c>
    </row>
    <row r="43" spans="1:16" x14ac:dyDescent="0.2">
      <c r="A43" s="10" t="s">
        <v>34</v>
      </c>
      <c r="B43" s="11" t="s">
        <v>34</v>
      </c>
      <c r="C43" s="10">
        <v>2199</v>
      </c>
      <c r="D43">
        <v>583</v>
      </c>
      <c r="E43" s="7">
        <f t="shared" si="0"/>
        <v>661</v>
      </c>
      <c r="F43" s="8">
        <f t="shared" si="1"/>
        <v>30.059117780809459</v>
      </c>
      <c r="G43" s="10">
        <v>392</v>
      </c>
      <c r="H43" s="9">
        <f t="shared" si="2"/>
        <v>17.826284674852204</v>
      </c>
      <c r="I43" s="7">
        <f t="shared" si="3"/>
        <v>880</v>
      </c>
      <c r="J43" s="9">
        <f t="shared" si="4"/>
        <v>40.01819008640291</v>
      </c>
      <c r="K43" s="10">
        <v>611</v>
      </c>
      <c r="L43" s="9">
        <f t="shared" si="5"/>
        <v>27.785356980445659</v>
      </c>
      <c r="M43" s="10">
        <v>269</v>
      </c>
      <c r="N43" s="9">
        <f t="shared" si="6"/>
        <v>12.232833105957255</v>
      </c>
      <c r="O43">
        <v>927</v>
      </c>
      <c r="P43" s="9">
        <f t="shared" si="7"/>
        <v>42.155525238744886</v>
      </c>
    </row>
    <row r="44" spans="1:16" x14ac:dyDescent="0.2">
      <c r="A44" s="10" t="s">
        <v>56</v>
      </c>
      <c r="B44" s="11" t="s">
        <v>56</v>
      </c>
      <c r="C44" s="10">
        <v>2091</v>
      </c>
      <c r="D44">
        <v>541</v>
      </c>
      <c r="E44" s="7">
        <f t="shared" si="0"/>
        <v>1101</v>
      </c>
      <c r="F44" s="8">
        <f t="shared" si="1"/>
        <v>52.654232424677183</v>
      </c>
      <c r="G44" s="10">
        <v>1101</v>
      </c>
      <c r="H44" s="9">
        <f t="shared" si="2"/>
        <v>52.654232424677183</v>
      </c>
      <c r="I44" s="7">
        <f t="shared" si="3"/>
        <v>0</v>
      </c>
      <c r="J44" s="9">
        <f t="shared" si="4"/>
        <v>0</v>
      </c>
      <c r="K44" s="10">
        <v>0</v>
      </c>
      <c r="L44" s="9">
        <f t="shared" si="5"/>
        <v>0</v>
      </c>
      <c r="M44" s="10">
        <v>0</v>
      </c>
      <c r="N44" s="9">
        <f t="shared" si="6"/>
        <v>0</v>
      </c>
      <c r="O44">
        <v>990</v>
      </c>
      <c r="P44" s="9">
        <f t="shared" si="7"/>
        <v>47.34576757532281</v>
      </c>
    </row>
    <row r="45" spans="1:16" x14ac:dyDescent="0.2">
      <c r="A45" s="10" t="s">
        <v>33</v>
      </c>
      <c r="B45" s="11" t="s">
        <v>33</v>
      </c>
      <c r="C45" s="10">
        <v>2007</v>
      </c>
      <c r="D45">
        <v>374</v>
      </c>
      <c r="E45" s="7">
        <f t="shared" si="0"/>
        <v>1403</v>
      </c>
      <c r="F45" s="8">
        <f t="shared" si="1"/>
        <v>69.905331340308919</v>
      </c>
      <c r="G45" s="10">
        <v>1403</v>
      </c>
      <c r="H45" s="9">
        <f t="shared" si="2"/>
        <v>69.905331340308919</v>
      </c>
      <c r="I45" s="7">
        <f t="shared" si="3"/>
        <v>0</v>
      </c>
      <c r="J45" s="9">
        <f t="shared" si="4"/>
        <v>0</v>
      </c>
      <c r="K45" s="10">
        <v>0</v>
      </c>
      <c r="L45" s="9">
        <f t="shared" si="5"/>
        <v>0</v>
      </c>
      <c r="M45" s="10">
        <v>0</v>
      </c>
      <c r="N45" s="9">
        <f t="shared" si="6"/>
        <v>0</v>
      </c>
      <c r="O45">
        <v>604</v>
      </c>
      <c r="P45" s="9">
        <f t="shared" si="7"/>
        <v>30.094668659691081</v>
      </c>
    </row>
    <row r="46" spans="1:16" x14ac:dyDescent="0.2">
      <c r="A46" s="10" t="s">
        <v>22</v>
      </c>
      <c r="B46" s="11" t="s">
        <v>22</v>
      </c>
      <c r="C46" s="10">
        <v>1880</v>
      </c>
      <c r="D46">
        <v>493</v>
      </c>
      <c r="E46" s="7">
        <f t="shared" si="0"/>
        <v>640</v>
      </c>
      <c r="F46" s="8">
        <f t="shared" si="1"/>
        <v>34.042553191489361</v>
      </c>
      <c r="G46" s="10">
        <v>640</v>
      </c>
      <c r="H46" s="9">
        <f t="shared" si="2"/>
        <v>34.042553191489361</v>
      </c>
      <c r="I46" s="7">
        <f t="shared" si="3"/>
        <v>0</v>
      </c>
      <c r="J46" s="9">
        <f t="shared" si="4"/>
        <v>0</v>
      </c>
      <c r="K46" s="10">
        <v>0</v>
      </c>
      <c r="L46" s="9">
        <f t="shared" si="5"/>
        <v>0</v>
      </c>
      <c r="M46" s="10">
        <v>0</v>
      </c>
      <c r="N46" s="9">
        <f t="shared" si="6"/>
        <v>0</v>
      </c>
      <c r="O46">
        <v>1240</v>
      </c>
      <c r="P46" s="9">
        <f t="shared" si="7"/>
        <v>65.957446808510639</v>
      </c>
    </row>
    <row r="47" spans="1:16" x14ac:dyDescent="0.2">
      <c r="A47" s="10" t="s">
        <v>41</v>
      </c>
      <c r="B47" s="11" t="s">
        <v>41</v>
      </c>
      <c r="C47" s="10">
        <v>1862</v>
      </c>
      <c r="D47">
        <v>323</v>
      </c>
      <c r="E47" s="7">
        <f t="shared" si="0"/>
        <v>516</v>
      </c>
      <c r="F47" s="8">
        <f t="shared" si="1"/>
        <v>27.712137486573578</v>
      </c>
      <c r="G47" s="10">
        <v>516</v>
      </c>
      <c r="H47" s="9">
        <f t="shared" si="2"/>
        <v>27.712137486573578</v>
      </c>
      <c r="I47" s="7">
        <f t="shared" si="3"/>
        <v>0</v>
      </c>
      <c r="J47" s="9">
        <f t="shared" si="4"/>
        <v>0</v>
      </c>
      <c r="K47" s="10">
        <v>0</v>
      </c>
      <c r="L47" s="9">
        <f t="shared" si="5"/>
        <v>0</v>
      </c>
      <c r="M47" s="10">
        <v>0</v>
      </c>
      <c r="N47" s="9">
        <f t="shared" si="6"/>
        <v>0</v>
      </c>
      <c r="O47">
        <v>1346</v>
      </c>
      <c r="P47" s="9">
        <f t="shared" si="7"/>
        <v>72.287862513426433</v>
      </c>
    </row>
    <row r="48" spans="1:16" x14ac:dyDescent="0.2">
      <c r="A48" s="10" t="s">
        <v>38</v>
      </c>
      <c r="B48" s="11" t="s">
        <v>38</v>
      </c>
      <c r="C48" s="10">
        <v>1751</v>
      </c>
      <c r="D48">
        <v>403</v>
      </c>
      <c r="E48" s="7">
        <f t="shared" si="0"/>
        <v>437</v>
      </c>
      <c r="F48" s="8">
        <f t="shared" si="1"/>
        <v>24.957167332952597</v>
      </c>
      <c r="G48" s="10">
        <v>56</v>
      </c>
      <c r="H48" s="9">
        <f t="shared" si="2"/>
        <v>3.1981724728726442</v>
      </c>
      <c r="I48" s="7">
        <f t="shared" si="3"/>
        <v>1514</v>
      </c>
      <c r="J48" s="9">
        <f t="shared" si="4"/>
        <v>86.464877213021126</v>
      </c>
      <c r="K48" s="10">
        <v>1133</v>
      </c>
      <c r="L48" s="9">
        <f t="shared" si="5"/>
        <v>64.705882352941174</v>
      </c>
      <c r="M48" s="10">
        <v>381</v>
      </c>
      <c r="N48" s="9">
        <f t="shared" si="6"/>
        <v>21.758994860079955</v>
      </c>
      <c r="O48">
        <v>181</v>
      </c>
      <c r="P48" s="9">
        <f t="shared" si="7"/>
        <v>10.336950314106225</v>
      </c>
    </row>
    <row r="49" spans="1:16" x14ac:dyDescent="0.2">
      <c r="A49" s="10" t="s">
        <v>98</v>
      </c>
      <c r="B49" s="11" t="s">
        <v>98</v>
      </c>
      <c r="C49" s="10">
        <v>1730</v>
      </c>
      <c r="D49">
        <v>385</v>
      </c>
      <c r="E49" s="7">
        <f t="shared" si="0"/>
        <v>543</v>
      </c>
      <c r="F49" s="8">
        <f t="shared" si="1"/>
        <v>31.387283236994218</v>
      </c>
      <c r="G49" s="10">
        <v>543</v>
      </c>
      <c r="H49" s="9">
        <f t="shared" si="2"/>
        <v>31.387283236994218</v>
      </c>
      <c r="I49" s="7">
        <f t="shared" si="3"/>
        <v>0</v>
      </c>
      <c r="J49" s="9">
        <f t="shared" si="4"/>
        <v>0</v>
      </c>
      <c r="K49" s="10">
        <v>0</v>
      </c>
      <c r="L49" s="9">
        <f t="shared" si="5"/>
        <v>0</v>
      </c>
      <c r="M49" s="10">
        <v>0</v>
      </c>
      <c r="N49" s="9">
        <f t="shared" si="6"/>
        <v>0</v>
      </c>
      <c r="O49">
        <v>1187</v>
      </c>
      <c r="P49" s="9">
        <f t="shared" si="7"/>
        <v>68.612716763005778</v>
      </c>
    </row>
    <row r="50" spans="1:16" x14ac:dyDescent="0.2">
      <c r="A50" s="10" t="s">
        <v>37</v>
      </c>
      <c r="B50" s="11" t="s">
        <v>37</v>
      </c>
      <c r="C50" s="10">
        <v>1568</v>
      </c>
      <c r="D50">
        <v>295</v>
      </c>
      <c r="E50" s="7">
        <f t="shared" si="0"/>
        <v>11</v>
      </c>
      <c r="F50" s="8">
        <f t="shared" si="1"/>
        <v>0.70153061224489799</v>
      </c>
      <c r="G50" s="10">
        <v>11</v>
      </c>
      <c r="H50" s="9">
        <f t="shared" si="2"/>
        <v>0.70153061224489799</v>
      </c>
      <c r="I50" s="7">
        <f t="shared" si="3"/>
        <v>1146</v>
      </c>
      <c r="J50" s="9">
        <f t="shared" si="4"/>
        <v>73.08673469387756</v>
      </c>
      <c r="K50" s="10">
        <v>1146</v>
      </c>
      <c r="L50" s="9">
        <f t="shared" si="5"/>
        <v>73.08673469387756</v>
      </c>
      <c r="M50" s="10">
        <v>0</v>
      </c>
      <c r="N50" s="9">
        <f t="shared" si="6"/>
        <v>0</v>
      </c>
      <c r="O50">
        <v>411</v>
      </c>
      <c r="P50" s="9">
        <f t="shared" si="7"/>
        <v>26.211734693877553</v>
      </c>
    </row>
    <row r="51" spans="1:16" x14ac:dyDescent="0.2">
      <c r="A51" s="10" t="s">
        <v>134</v>
      </c>
      <c r="B51" s="11" t="s">
        <v>134</v>
      </c>
      <c r="C51" s="10">
        <v>1566</v>
      </c>
      <c r="D51">
        <v>369</v>
      </c>
      <c r="E51" s="7">
        <f t="shared" si="0"/>
        <v>0</v>
      </c>
      <c r="F51" s="8">
        <f t="shared" si="1"/>
        <v>0</v>
      </c>
      <c r="G51" s="10">
        <v>0</v>
      </c>
      <c r="H51" s="9">
        <f t="shared" si="2"/>
        <v>0</v>
      </c>
      <c r="I51" s="7">
        <f t="shared" si="3"/>
        <v>0</v>
      </c>
      <c r="J51" s="9">
        <f t="shared" si="4"/>
        <v>0</v>
      </c>
      <c r="K51" s="10">
        <v>0</v>
      </c>
      <c r="L51" s="9">
        <f t="shared" si="5"/>
        <v>0</v>
      </c>
      <c r="M51" s="10">
        <v>0</v>
      </c>
      <c r="N51" s="9">
        <f t="shared" si="6"/>
        <v>0</v>
      </c>
      <c r="O51">
        <v>1566</v>
      </c>
      <c r="P51" s="9">
        <f t="shared" si="7"/>
        <v>100</v>
      </c>
    </row>
    <row r="52" spans="1:16" x14ac:dyDescent="0.2">
      <c r="A52" s="10" t="s">
        <v>43</v>
      </c>
      <c r="B52" s="11" t="s">
        <v>43</v>
      </c>
      <c r="C52" s="10">
        <v>1552</v>
      </c>
      <c r="D52">
        <v>429</v>
      </c>
      <c r="E52" s="7">
        <f t="shared" si="0"/>
        <v>420</v>
      </c>
      <c r="F52" s="8">
        <f t="shared" si="1"/>
        <v>27.061855670103093</v>
      </c>
      <c r="G52" s="10">
        <v>415</v>
      </c>
      <c r="H52" s="9">
        <f t="shared" si="2"/>
        <v>26.739690721649485</v>
      </c>
      <c r="I52" s="7">
        <f t="shared" si="3"/>
        <v>27</v>
      </c>
      <c r="J52" s="9">
        <f t="shared" si="4"/>
        <v>1.7396907216494846</v>
      </c>
      <c r="K52" s="10">
        <v>22</v>
      </c>
      <c r="L52" s="9">
        <f t="shared" si="5"/>
        <v>1.4175257731958764</v>
      </c>
      <c r="M52" s="10">
        <v>5</v>
      </c>
      <c r="N52" s="9">
        <f t="shared" si="6"/>
        <v>0.32216494845360821</v>
      </c>
      <c r="O52">
        <v>1110</v>
      </c>
      <c r="P52" s="9">
        <f t="shared" si="7"/>
        <v>71.520618556701038</v>
      </c>
    </row>
    <row r="53" spans="1:16" x14ac:dyDescent="0.2">
      <c r="A53" s="10" t="s">
        <v>42</v>
      </c>
      <c r="B53" s="11" t="s">
        <v>42</v>
      </c>
      <c r="C53" s="10">
        <v>1526</v>
      </c>
      <c r="D53">
        <v>280</v>
      </c>
      <c r="E53" s="7">
        <f t="shared" si="0"/>
        <v>489</v>
      </c>
      <c r="F53" s="8">
        <f t="shared" si="1"/>
        <v>32.044560943643511</v>
      </c>
      <c r="G53" s="10">
        <v>365</v>
      </c>
      <c r="H53" s="9">
        <f t="shared" si="2"/>
        <v>23.918741808650065</v>
      </c>
      <c r="I53" s="7">
        <f t="shared" si="3"/>
        <v>366</v>
      </c>
      <c r="J53" s="9">
        <f t="shared" si="4"/>
        <v>23.984272608125821</v>
      </c>
      <c r="K53" s="10">
        <v>242</v>
      </c>
      <c r="L53" s="9">
        <f t="shared" si="5"/>
        <v>15.858453473132371</v>
      </c>
      <c r="M53" s="10">
        <v>124</v>
      </c>
      <c r="N53" s="9">
        <f t="shared" si="6"/>
        <v>8.1258191349934457</v>
      </c>
      <c r="O53">
        <v>795</v>
      </c>
      <c r="P53" s="9">
        <f t="shared" si="7"/>
        <v>52.096985583224118</v>
      </c>
    </row>
    <row r="54" spans="1:16" x14ac:dyDescent="0.2">
      <c r="A54" s="10" t="s">
        <v>39</v>
      </c>
      <c r="B54" s="11" t="s">
        <v>39</v>
      </c>
      <c r="C54" s="10">
        <v>1486</v>
      </c>
      <c r="D54">
        <v>305</v>
      </c>
      <c r="E54" s="7">
        <f t="shared" si="0"/>
        <v>42</v>
      </c>
      <c r="F54" s="8">
        <f t="shared" si="1"/>
        <v>2.826379542395693</v>
      </c>
      <c r="G54" s="10">
        <v>6</v>
      </c>
      <c r="H54" s="9">
        <f t="shared" si="2"/>
        <v>0.40376850605652759</v>
      </c>
      <c r="I54" s="7">
        <f t="shared" si="3"/>
        <v>882</v>
      </c>
      <c r="J54" s="9">
        <f t="shared" si="4"/>
        <v>59.353970390309549</v>
      </c>
      <c r="K54" s="10">
        <v>846</v>
      </c>
      <c r="L54" s="9">
        <f t="shared" si="5"/>
        <v>56.931359353970393</v>
      </c>
      <c r="M54" s="10">
        <v>36</v>
      </c>
      <c r="N54" s="9">
        <f t="shared" si="6"/>
        <v>2.4226110363391657</v>
      </c>
      <c r="O54">
        <v>598</v>
      </c>
      <c r="P54" s="9">
        <f t="shared" si="7"/>
        <v>40.242261103633915</v>
      </c>
    </row>
    <row r="55" spans="1:16" x14ac:dyDescent="0.2">
      <c r="A55" s="10" t="s">
        <v>46</v>
      </c>
      <c r="B55" s="11" t="s">
        <v>46</v>
      </c>
      <c r="C55" s="10">
        <v>1459</v>
      </c>
      <c r="D55">
        <v>297</v>
      </c>
      <c r="E55" s="7">
        <f t="shared" si="0"/>
        <v>442</v>
      </c>
      <c r="F55" s="8">
        <f t="shared" si="1"/>
        <v>30.294722412611382</v>
      </c>
      <c r="G55" s="10">
        <v>87</v>
      </c>
      <c r="H55" s="9">
        <f t="shared" si="2"/>
        <v>5.9629883481836874</v>
      </c>
      <c r="I55" s="7">
        <f t="shared" si="3"/>
        <v>1263</v>
      </c>
      <c r="J55" s="9">
        <f t="shared" si="4"/>
        <v>86.566141192597669</v>
      </c>
      <c r="K55" s="10">
        <v>908</v>
      </c>
      <c r="L55" s="9">
        <f t="shared" si="5"/>
        <v>62.234407128169977</v>
      </c>
      <c r="M55" s="10">
        <v>355</v>
      </c>
      <c r="N55" s="9">
        <f t="shared" si="6"/>
        <v>24.331734064427689</v>
      </c>
      <c r="O55">
        <v>109</v>
      </c>
      <c r="P55" s="9">
        <f t="shared" si="7"/>
        <v>7.4708704592186423</v>
      </c>
    </row>
    <row r="56" spans="1:16" x14ac:dyDescent="0.2">
      <c r="A56" s="10" t="s">
        <v>44</v>
      </c>
      <c r="B56" s="11" t="s">
        <v>60</v>
      </c>
      <c r="C56" s="10">
        <v>1301</v>
      </c>
      <c r="D56">
        <v>208</v>
      </c>
      <c r="E56" s="7">
        <f t="shared" si="0"/>
        <v>231</v>
      </c>
      <c r="F56" s="8">
        <f t="shared" si="1"/>
        <v>17.755572636433513</v>
      </c>
      <c r="G56" s="10">
        <v>5</v>
      </c>
      <c r="H56" s="9">
        <f t="shared" si="2"/>
        <v>0.3843197540353574</v>
      </c>
      <c r="I56" s="7">
        <f t="shared" si="3"/>
        <v>1272</v>
      </c>
      <c r="J56" s="9">
        <f t="shared" si="4"/>
        <v>97.77094542659492</v>
      </c>
      <c r="K56" s="10">
        <v>1046</v>
      </c>
      <c r="L56" s="9">
        <f t="shared" si="5"/>
        <v>80.399692544196782</v>
      </c>
      <c r="M56" s="10">
        <v>226</v>
      </c>
      <c r="N56" s="9">
        <f t="shared" si="6"/>
        <v>17.371252882398156</v>
      </c>
      <c r="O56">
        <v>24</v>
      </c>
      <c r="P56" s="9">
        <f t="shared" si="7"/>
        <v>1.8447348193697155</v>
      </c>
    </row>
    <row r="57" spans="1:16" x14ac:dyDescent="0.2">
      <c r="A57" s="10" t="s">
        <v>80</v>
      </c>
      <c r="B57" s="11" t="s">
        <v>80</v>
      </c>
      <c r="C57" s="10">
        <v>1165</v>
      </c>
      <c r="D57">
        <v>213</v>
      </c>
      <c r="E57" s="7">
        <f t="shared" si="0"/>
        <v>316</v>
      </c>
      <c r="F57" s="8">
        <f t="shared" si="1"/>
        <v>27.124463519313302</v>
      </c>
      <c r="G57" s="10">
        <v>316</v>
      </c>
      <c r="H57" s="9">
        <f t="shared" si="2"/>
        <v>27.124463519313302</v>
      </c>
      <c r="I57" s="7">
        <f t="shared" si="3"/>
        <v>0</v>
      </c>
      <c r="J57" s="9">
        <f t="shared" si="4"/>
        <v>0</v>
      </c>
      <c r="K57" s="10">
        <v>0</v>
      </c>
      <c r="L57" s="9">
        <f t="shared" si="5"/>
        <v>0</v>
      </c>
      <c r="M57" s="10">
        <v>0</v>
      </c>
      <c r="N57" s="9">
        <f t="shared" si="6"/>
        <v>0</v>
      </c>
      <c r="O57">
        <v>849</v>
      </c>
      <c r="P57" s="9">
        <f t="shared" si="7"/>
        <v>72.875536480686691</v>
      </c>
    </row>
    <row r="58" spans="1:16" x14ac:dyDescent="0.2">
      <c r="A58" s="10" t="s">
        <v>65</v>
      </c>
      <c r="B58" s="11" t="s">
        <v>120</v>
      </c>
      <c r="C58" s="10">
        <v>1135</v>
      </c>
      <c r="D58">
        <v>186</v>
      </c>
      <c r="E58" s="7">
        <f t="shared" si="0"/>
        <v>11</v>
      </c>
      <c r="F58" s="8">
        <f t="shared" si="1"/>
        <v>0.96916299559471364</v>
      </c>
      <c r="G58" s="10">
        <v>11</v>
      </c>
      <c r="H58" s="9">
        <f t="shared" si="2"/>
        <v>0.96916299559471364</v>
      </c>
      <c r="I58" s="7">
        <f t="shared" si="3"/>
        <v>0</v>
      </c>
      <c r="J58" s="9">
        <f t="shared" si="4"/>
        <v>0</v>
      </c>
      <c r="K58" s="10">
        <v>0</v>
      </c>
      <c r="L58" s="9">
        <f t="shared" si="5"/>
        <v>0</v>
      </c>
      <c r="M58" s="10">
        <v>0</v>
      </c>
      <c r="N58" s="9">
        <f t="shared" si="6"/>
        <v>0</v>
      </c>
      <c r="O58">
        <v>1124</v>
      </c>
      <c r="P58" s="9">
        <f t="shared" si="7"/>
        <v>99.030837004405285</v>
      </c>
    </row>
    <row r="59" spans="1:16" x14ac:dyDescent="0.2">
      <c r="A59" s="10" t="s">
        <v>108</v>
      </c>
      <c r="B59" s="11" t="s">
        <v>108</v>
      </c>
      <c r="C59" s="10">
        <v>1092</v>
      </c>
      <c r="D59">
        <v>202</v>
      </c>
      <c r="E59" s="7">
        <f t="shared" si="0"/>
        <v>12</v>
      </c>
      <c r="F59" s="8">
        <f t="shared" si="1"/>
        <v>1.098901098901099</v>
      </c>
      <c r="G59" s="10">
        <v>12</v>
      </c>
      <c r="H59" s="9">
        <f t="shared" si="2"/>
        <v>1.098901098901099</v>
      </c>
      <c r="I59" s="7">
        <f t="shared" si="3"/>
        <v>0</v>
      </c>
      <c r="J59" s="9">
        <f t="shared" si="4"/>
        <v>0</v>
      </c>
      <c r="K59" s="10">
        <v>0</v>
      </c>
      <c r="L59" s="9">
        <f t="shared" si="5"/>
        <v>0</v>
      </c>
      <c r="M59" s="10">
        <v>0</v>
      </c>
      <c r="N59" s="9">
        <f t="shared" si="6"/>
        <v>0</v>
      </c>
      <c r="O59">
        <v>1080</v>
      </c>
      <c r="P59" s="9">
        <f t="shared" si="7"/>
        <v>98.901098901098905</v>
      </c>
    </row>
    <row r="60" spans="1:16" x14ac:dyDescent="0.2">
      <c r="A60" s="10" t="s">
        <v>40</v>
      </c>
      <c r="B60" s="11" t="s">
        <v>40</v>
      </c>
      <c r="C60" s="10">
        <v>1020</v>
      </c>
      <c r="D60">
        <v>233</v>
      </c>
      <c r="E60" s="7">
        <f t="shared" si="0"/>
        <v>232</v>
      </c>
      <c r="F60" s="8">
        <f t="shared" si="1"/>
        <v>22.745098039215687</v>
      </c>
      <c r="G60" s="10">
        <v>3</v>
      </c>
      <c r="H60" s="9">
        <f t="shared" si="2"/>
        <v>0.29411764705882354</v>
      </c>
      <c r="I60" s="7">
        <f t="shared" si="3"/>
        <v>1000</v>
      </c>
      <c r="J60" s="9">
        <f t="shared" si="4"/>
        <v>98.039215686274503</v>
      </c>
      <c r="K60" s="10">
        <v>771</v>
      </c>
      <c r="L60" s="9">
        <f t="shared" si="5"/>
        <v>75.588235294117652</v>
      </c>
      <c r="M60" s="10">
        <v>229</v>
      </c>
      <c r="N60" s="9">
        <f t="shared" si="6"/>
        <v>22.450980392156865</v>
      </c>
      <c r="O60">
        <v>17</v>
      </c>
      <c r="P60" s="9">
        <f t="shared" si="7"/>
        <v>1.6666666666666667</v>
      </c>
    </row>
    <row r="61" spans="1:16" x14ac:dyDescent="0.2">
      <c r="A61" s="10" t="s">
        <v>48</v>
      </c>
      <c r="B61" s="11" t="s">
        <v>48</v>
      </c>
      <c r="C61" s="10">
        <v>998</v>
      </c>
      <c r="D61">
        <v>220</v>
      </c>
      <c r="E61" s="7">
        <f t="shared" si="0"/>
        <v>299</v>
      </c>
      <c r="F61" s="8">
        <f t="shared" si="1"/>
        <v>29.959919839679362</v>
      </c>
      <c r="G61" s="10">
        <v>25</v>
      </c>
      <c r="H61" s="9">
        <f t="shared" si="2"/>
        <v>2.5050100200400802</v>
      </c>
      <c r="I61" s="7">
        <f t="shared" si="3"/>
        <v>759</v>
      </c>
      <c r="J61" s="9">
        <f t="shared" si="4"/>
        <v>76.052104208416836</v>
      </c>
      <c r="K61" s="10">
        <v>485</v>
      </c>
      <c r="L61" s="9">
        <f t="shared" si="5"/>
        <v>48.597194388777552</v>
      </c>
      <c r="M61" s="10">
        <v>274</v>
      </c>
      <c r="N61" s="9">
        <f t="shared" si="6"/>
        <v>27.45490981963928</v>
      </c>
      <c r="O61">
        <v>214</v>
      </c>
      <c r="P61" s="9">
        <f t="shared" si="7"/>
        <v>21.442885771543086</v>
      </c>
    </row>
    <row r="62" spans="1:16" x14ac:dyDescent="0.2">
      <c r="A62" s="10" t="s">
        <v>68</v>
      </c>
      <c r="B62" s="11" t="s">
        <v>68</v>
      </c>
      <c r="C62" s="10">
        <v>963</v>
      </c>
      <c r="D62">
        <v>194</v>
      </c>
      <c r="E62" s="7">
        <f t="shared" si="0"/>
        <v>417</v>
      </c>
      <c r="F62" s="8">
        <f t="shared" si="1"/>
        <v>43.302180685358252</v>
      </c>
      <c r="G62" s="10">
        <v>417</v>
      </c>
      <c r="H62" s="9">
        <f t="shared" si="2"/>
        <v>43.302180685358252</v>
      </c>
      <c r="I62" s="7">
        <f t="shared" si="3"/>
        <v>0</v>
      </c>
      <c r="J62" s="9">
        <f t="shared" si="4"/>
        <v>0</v>
      </c>
      <c r="K62" s="10">
        <v>0</v>
      </c>
      <c r="L62" s="9">
        <f t="shared" si="5"/>
        <v>0</v>
      </c>
      <c r="M62" s="10">
        <v>0</v>
      </c>
      <c r="N62" s="9">
        <f t="shared" si="6"/>
        <v>0</v>
      </c>
      <c r="O62">
        <v>546</v>
      </c>
      <c r="P62" s="9">
        <f t="shared" si="7"/>
        <v>56.697819314641741</v>
      </c>
    </row>
    <row r="63" spans="1:16" x14ac:dyDescent="0.2">
      <c r="A63" s="10" t="s">
        <v>57</v>
      </c>
      <c r="B63" s="11" t="s">
        <v>57</v>
      </c>
      <c r="C63" s="10">
        <v>920</v>
      </c>
      <c r="D63">
        <v>167</v>
      </c>
      <c r="E63" s="7">
        <f t="shared" si="0"/>
        <v>89</v>
      </c>
      <c r="F63" s="8">
        <f t="shared" si="1"/>
        <v>9.6739130434782599</v>
      </c>
      <c r="G63" s="10">
        <v>89</v>
      </c>
      <c r="H63" s="9">
        <f t="shared" si="2"/>
        <v>9.6739130434782599</v>
      </c>
      <c r="I63" s="7">
        <f t="shared" si="3"/>
        <v>0</v>
      </c>
      <c r="J63" s="9">
        <f t="shared" si="4"/>
        <v>0</v>
      </c>
      <c r="K63" s="10">
        <v>0</v>
      </c>
      <c r="L63" s="9">
        <f t="shared" si="5"/>
        <v>0</v>
      </c>
      <c r="M63" s="10">
        <v>0</v>
      </c>
      <c r="N63" s="9">
        <f t="shared" si="6"/>
        <v>0</v>
      </c>
      <c r="O63">
        <v>831</v>
      </c>
      <c r="P63" s="9">
        <f t="shared" si="7"/>
        <v>90.326086956521735</v>
      </c>
    </row>
    <row r="64" spans="1:16" x14ac:dyDescent="0.2">
      <c r="A64" s="10" t="s">
        <v>49</v>
      </c>
      <c r="B64" s="11" t="s">
        <v>49</v>
      </c>
      <c r="C64" s="10">
        <v>781</v>
      </c>
      <c r="D64">
        <v>137</v>
      </c>
      <c r="E64" s="7">
        <f t="shared" si="0"/>
        <v>211</v>
      </c>
      <c r="F64" s="8">
        <f t="shared" si="1"/>
        <v>27.016645326504481</v>
      </c>
      <c r="G64" s="10">
        <v>211</v>
      </c>
      <c r="H64" s="9">
        <f t="shared" si="2"/>
        <v>27.016645326504481</v>
      </c>
      <c r="I64" s="7">
        <f t="shared" si="3"/>
        <v>0</v>
      </c>
      <c r="J64" s="9">
        <f t="shared" si="4"/>
        <v>0</v>
      </c>
      <c r="K64" s="10">
        <v>0</v>
      </c>
      <c r="L64" s="9">
        <f t="shared" si="5"/>
        <v>0</v>
      </c>
      <c r="M64" s="10">
        <v>0</v>
      </c>
      <c r="N64" s="9">
        <f t="shared" si="6"/>
        <v>0</v>
      </c>
      <c r="O64">
        <v>570</v>
      </c>
      <c r="P64" s="9">
        <f t="shared" si="7"/>
        <v>72.983354673495512</v>
      </c>
    </row>
    <row r="65" spans="1:16" x14ac:dyDescent="0.2">
      <c r="A65" s="10" t="s">
        <v>47</v>
      </c>
      <c r="B65" s="11" t="s">
        <v>47</v>
      </c>
      <c r="C65" s="10">
        <v>716</v>
      </c>
      <c r="D65">
        <v>221</v>
      </c>
      <c r="E65" s="7">
        <f t="shared" si="0"/>
        <v>319</v>
      </c>
      <c r="F65" s="8">
        <f t="shared" si="1"/>
        <v>44.553072625698327</v>
      </c>
      <c r="G65" s="10">
        <v>319</v>
      </c>
      <c r="H65" s="9">
        <f t="shared" si="2"/>
        <v>44.553072625698327</v>
      </c>
      <c r="I65" s="7">
        <f t="shared" si="3"/>
        <v>0</v>
      </c>
      <c r="J65" s="9">
        <f t="shared" si="4"/>
        <v>0</v>
      </c>
      <c r="K65" s="10">
        <v>0</v>
      </c>
      <c r="L65" s="9">
        <f t="shared" si="5"/>
        <v>0</v>
      </c>
      <c r="M65" s="10">
        <v>0</v>
      </c>
      <c r="N65" s="9">
        <f t="shared" si="6"/>
        <v>0</v>
      </c>
      <c r="O65">
        <v>397</v>
      </c>
      <c r="P65" s="9">
        <f t="shared" si="7"/>
        <v>55.44692737430168</v>
      </c>
    </row>
    <row r="66" spans="1:16" x14ac:dyDescent="0.2">
      <c r="A66" s="10" t="s">
        <v>101</v>
      </c>
      <c r="B66" s="11" t="s">
        <v>51</v>
      </c>
      <c r="C66" s="10">
        <v>682</v>
      </c>
      <c r="D66">
        <v>158</v>
      </c>
      <c r="E66" s="7">
        <f t="shared" si="0"/>
        <v>205</v>
      </c>
      <c r="F66" s="8">
        <f t="shared" si="1"/>
        <v>30.058651026392962</v>
      </c>
      <c r="G66" s="10">
        <v>205</v>
      </c>
      <c r="H66" s="9">
        <f t="shared" si="2"/>
        <v>30.058651026392962</v>
      </c>
      <c r="I66" s="7">
        <f t="shared" si="3"/>
        <v>0</v>
      </c>
      <c r="J66" s="9">
        <f t="shared" si="4"/>
        <v>0</v>
      </c>
      <c r="K66" s="10">
        <v>0</v>
      </c>
      <c r="L66" s="9">
        <f t="shared" si="5"/>
        <v>0</v>
      </c>
      <c r="M66" s="10">
        <v>0</v>
      </c>
      <c r="N66" s="9">
        <f t="shared" si="6"/>
        <v>0</v>
      </c>
      <c r="O66">
        <v>477</v>
      </c>
      <c r="P66" s="9">
        <f t="shared" si="7"/>
        <v>69.941348973607049</v>
      </c>
    </row>
    <row r="67" spans="1:16" x14ac:dyDescent="0.2">
      <c r="A67" s="10" t="s">
        <v>148</v>
      </c>
      <c r="B67" s="11" t="s">
        <v>59</v>
      </c>
      <c r="C67" s="10">
        <v>673</v>
      </c>
      <c r="D67">
        <v>157</v>
      </c>
      <c r="E67" s="7">
        <f t="shared" si="0"/>
        <v>172</v>
      </c>
      <c r="F67" s="8">
        <f t="shared" si="1"/>
        <v>25.557206537890043</v>
      </c>
      <c r="G67" s="10">
        <v>172</v>
      </c>
      <c r="H67" s="9">
        <f t="shared" si="2"/>
        <v>25.557206537890043</v>
      </c>
      <c r="I67" s="7">
        <f t="shared" si="3"/>
        <v>0</v>
      </c>
      <c r="J67" s="9">
        <f t="shared" si="4"/>
        <v>0</v>
      </c>
      <c r="K67" s="10">
        <v>0</v>
      </c>
      <c r="L67" s="9">
        <f t="shared" si="5"/>
        <v>0</v>
      </c>
      <c r="M67" s="10">
        <v>0</v>
      </c>
      <c r="N67" s="9">
        <f t="shared" si="6"/>
        <v>0</v>
      </c>
      <c r="O67">
        <v>501</v>
      </c>
      <c r="P67" s="9">
        <f t="shared" si="7"/>
        <v>74.442793462109961</v>
      </c>
    </row>
    <row r="68" spans="1:16" x14ac:dyDescent="0.2">
      <c r="A68" s="10" t="s">
        <v>146</v>
      </c>
      <c r="B68" s="11" t="s">
        <v>93</v>
      </c>
      <c r="C68" s="10">
        <v>606</v>
      </c>
      <c r="D68">
        <v>132</v>
      </c>
      <c r="E68" s="7">
        <f t="shared" ref="E68:E131" si="8">G68+M68</f>
        <v>87</v>
      </c>
      <c r="F68" s="8">
        <f t="shared" ref="F68:F131" si="9">(E68/C68)*100</f>
        <v>14.356435643564355</v>
      </c>
      <c r="G68" s="10">
        <v>87</v>
      </c>
      <c r="H68" s="9">
        <f t="shared" ref="H68:H131" si="10">(G68/C68)*100</f>
        <v>14.356435643564355</v>
      </c>
      <c r="I68" s="7">
        <f t="shared" ref="I68:I131" si="11">K68+M68</f>
        <v>0</v>
      </c>
      <c r="J68" s="9">
        <f t="shared" ref="J68:J131" si="12">(I68/C68)*100</f>
        <v>0</v>
      </c>
      <c r="K68" s="10">
        <v>0</v>
      </c>
      <c r="L68" s="9">
        <f t="shared" ref="L68:L131" si="13">(K68/C68)*100</f>
        <v>0</v>
      </c>
      <c r="M68" s="10">
        <v>0</v>
      </c>
      <c r="N68" s="9">
        <f t="shared" ref="N68:N131" si="14">(M68/C68)*100</f>
        <v>0</v>
      </c>
      <c r="O68">
        <v>519</v>
      </c>
      <c r="P68" s="9">
        <f t="shared" ref="P68:P131" si="15">(O68/C68)*100</f>
        <v>85.643564356435647</v>
      </c>
    </row>
    <row r="69" spans="1:16" x14ac:dyDescent="0.2">
      <c r="A69" s="10" t="s">
        <v>145</v>
      </c>
      <c r="B69" s="11" t="s">
        <v>104</v>
      </c>
      <c r="C69" s="10">
        <v>601</v>
      </c>
      <c r="D69">
        <v>117</v>
      </c>
      <c r="E69" s="7">
        <f t="shared" si="8"/>
        <v>0</v>
      </c>
      <c r="F69" s="8">
        <f t="shared" si="9"/>
        <v>0</v>
      </c>
      <c r="G69" s="10">
        <v>0</v>
      </c>
      <c r="H69" s="9">
        <f t="shared" si="10"/>
        <v>0</v>
      </c>
      <c r="I69" s="7">
        <f t="shared" si="11"/>
        <v>0</v>
      </c>
      <c r="J69" s="9">
        <f t="shared" si="12"/>
        <v>0</v>
      </c>
      <c r="K69" s="10">
        <v>0</v>
      </c>
      <c r="L69" s="9">
        <f t="shared" si="13"/>
        <v>0</v>
      </c>
      <c r="M69" s="10">
        <v>0</v>
      </c>
      <c r="N69" s="9">
        <f t="shared" si="14"/>
        <v>0</v>
      </c>
      <c r="O69">
        <v>601</v>
      </c>
      <c r="P69" s="9">
        <f t="shared" si="15"/>
        <v>100</v>
      </c>
    </row>
    <row r="70" spans="1:16" x14ac:dyDescent="0.2">
      <c r="A70" s="10" t="s">
        <v>145</v>
      </c>
      <c r="B70" s="11" t="s">
        <v>73</v>
      </c>
      <c r="C70" s="10">
        <v>583</v>
      </c>
      <c r="D70">
        <v>97</v>
      </c>
      <c r="E70" s="7">
        <f t="shared" si="8"/>
        <v>350</v>
      </c>
      <c r="F70" s="8">
        <f t="shared" si="9"/>
        <v>60.03430531732419</v>
      </c>
      <c r="G70" s="10">
        <v>0</v>
      </c>
      <c r="H70" s="9">
        <f t="shared" si="10"/>
        <v>0</v>
      </c>
      <c r="I70" s="7">
        <f t="shared" si="11"/>
        <v>576</v>
      </c>
      <c r="J70" s="9">
        <f t="shared" si="12"/>
        <v>98.799313893653519</v>
      </c>
      <c r="K70" s="10">
        <v>226</v>
      </c>
      <c r="L70" s="9">
        <f t="shared" si="13"/>
        <v>38.765008576329329</v>
      </c>
      <c r="M70" s="10">
        <v>350</v>
      </c>
      <c r="N70" s="9">
        <f t="shared" si="14"/>
        <v>60.03430531732419</v>
      </c>
      <c r="O70">
        <v>7</v>
      </c>
      <c r="P70" s="9">
        <f t="shared" si="15"/>
        <v>1.2006861063464835</v>
      </c>
    </row>
    <row r="71" spans="1:16" x14ac:dyDescent="0.2">
      <c r="A71" s="10" t="s">
        <v>50</v>
      </c>
      <c r="B71" s="11" t="s">
        <v>50</v>
      </c>
      <c r="C71" s="10">
        <v>520</v>
      </c>
      <c r="D71">
        <v>117</v>
      </c>
      <c r="E71" s="7">
        <f t="shared" si="8"/>
        <v>197</v>
      </c>
      <c r="F71" s="8">
        <f t="shared" si="9"/>
        <v>37.884615384615387</v>
      </c>
      <c r="G71" s="10">
        <v>197</v>
      </c>
      <c r="H71" s="9">
        <f t="shared" si="10"/>
        <v>37.884615384615387</v>
      </c>
      <c r="I71" s="7">
        <f t="shared" si="11"/>
        <v>0</v>
      </c>
      <c r="J71" s="9">
        <f t="shared" si="12"/>
        <v>0</v>
      </c>
      <c r="K71" s="10">
        <v>0</v>
      </c>
      <c r="L71" s="9">
        <f t="shared" si="13"/>
        <v>0</v>
      </c>
      <c r="M71" s="10">
        <v>0</v>
      </c>
      <c r="N71" s="9">
        <f t="shared" si="14"/>
        <v>0</v>
      </c>
      <c r="O71">
        <v>323</v>
      </c>
      <c r="P71" s="9">
        <f t="shared" si="15"/>
        <v>62.115384615384613</v>
      </c>
    </row>
    <row r="72" spans="1:16" x14ac:dyDescent="0.2">
      <c r="A72" s="10" t="s">
        <v>145</v>
      </c>
      <c r="B72" s="11" t="s">
        <v>53</v>
      </c>
      <c r="C72" s="10">
        <v>503</v>
      </c>
      <c r="D72">
        <v>94</v>
      </c>
      <c r="E72" s="7">
        <f t="shared" si="8"/>
        <v>143</v>
      </c>
      <c r="F72" s="8">
        <f t="shared" si="9"/>
        <v>28.429423459244536</v>
      </c>
      <c r="G72" s="10">
        <v>143</v>
      </c>
      <c r="H72" s="9">
        <f t="shared" si="10"/>
        <v>28.429423459244536</v>
      </c>
      <c r="I72" s="7">
        <f t="shared" si="11"/>
        <v>0</v>
      </c>
      <c r="J72" s="9">
        <f t="shared" si="12"/>
        <v>0</v>
      </c>
      <c r="K72" s="10">
        <v>0</v>
      </c>
      <c r="L72" s="9">
        <f t="shared" si="13"/>
        <v>0</v>
      </c>
      <c r="M72" s="10">
        <v>0</v>
      </c>
      <c r="N72" s="9">
        <f t="shared" si="14"/>
        <v>0</v>
      </c>
      <c r="O72">
        <v>360</v>
      </c>
      <c r="P72" s="9">
        <f t="shared" si="15"/>
        <v>71.570576540755468</v>
      </c>
    </row>
    <row r="73" spans="1:16" x14ac:dyDescent="0.2">
      <c r="A73" s="10" t="s">
        <v>54</v>
      </c>
      <c r="B73" s="11" t="s">
        <v>54</v>
      </c>
      <c r="C73" s="10">
        <v>492</v>
      </c>
      <c r="D73">
        <v>105</v>
      </c>
      <c r="E73" s="7">
        <f t="shared" si="8"/>
        <v>104</v>
      </c>
      <c r="F73" s="8">
        <f t="shared" si="9"/>
        <v>21.138211382113823</v>
      </c>
      <c r="G73" s="10">
        <v>4</v>
      </c>
      <c r="H73" s="9">
        <f t="shared" si="10"/>
        <v>0.81300813008130091</v>
      </c>
      <c r="I73" s="7">
        <f t="shared" si="11"/>
        <v>434</v>
      </c>
      <c r="J73" s="9">
        <f t="shared" si="12"/>
        <v>88.211382113821131</v>
      </c>
      <c r="K73" s="10">
        <v>334</v>
      </c>
      <c r="L73" s="9">
        <f t="shared" si="13"/>
        <v>67.886178861788622</v>
      </c>
      <c r="M73" s="10">
        <v>100</v>
      </c>
      <c r="N73" s="9">
        <f t="shared" si="14"/>
        <v>20.325203252032519</v>
      </c>
      <c r="O73">
        <v>54</v>
      </c>
      <c r="P73" s="9">
        <f t="shared" si="15"/>
        <v>10.975609756097562</v>
      </c>
    </row>
    <row r="74" spans="1:16" x14ac:dyDescent="0.2">
      <c r="A74" s="10" t="s">
        <v>147</v>
      </c>
      <c r="B74" s="11" t="s">
        <v>52</v>
      </c>
      <c r="C74" s="10">
        <v>447</v>
      </c>
      <c r="D74">
        <v>142</v>
      </c>
      <c r="E74" s="7">
        <f t="shared" si="8"/>
        <v>38</v>
      </c>
      <c r="F74" s="8">
        <f t="shared" si="9"/>
        <v>8.5011185682326627</v>
      </c>
      <c r="G74" s="10">
        <v>38</v>
      </c>
      <c r="H74" s="9">
        <f t="shared" si="10"/>
        <v>8.5011185682326627</v>
      </c>
      <c r="I74" s="7">
        <f t="shared" si="11"/>
        <v>0</v>
      </c>
      <c r="J74" s="9">
        <f t="shared" si="12"/>
        <v>0</v>
      </c>
      <c r="K74" s="10">
        <v>0</v>
      </c>
      <c r="L74" s="9">
        <f t="shared" si="13"/>
        <v>0</v>
      </c>
      <c r="M74" s="10">
        <v>0</v>
      </c>
      <c r="N74" s="9">
        <f t="shared" si="14"/>
        <v>0</v>
      </c>
      <c r="O74">
        <v>409</v>
      </c>
      <c r="P74" s="9">
        <f t="shared" si="15"/>
        <v>91.498881431767344</v>
      </c>
    </row>
    <row r="75" spans="1:16" x14ac:dyDescent="0.2">
      <c r="A75" s="10" t="s">
        <v>61</v>
      </c>
      <c r="B75" s="11" t="s">
        <v>61</v>
      </c>
      <c r="C75" s="10">
        <v>405</v>
      </c>
      <c r="D75">
        <v>90</v>
      </c>
      <c r="E75" s="7">
        <f t="shared" si="8"/>
        <v>271</v>
      </c>
      <c r="F75" s="8">
        <f t="shared" si="9"/>
        <v>66.913580246913583</v>
      </c>
      <c r="G75" s="10">
        <v>7</v>
      </c>
      <c r="H75" s="9">
        <f t="shared" si="10"/>
        <v>1.728395061728395</v>
      </c>
      <c r="I75" s="7">
        <f t="shared" si="11"/>
        <v>393</v>
      </c>
      <c r="J75" s="9">
        <f t="shared" si="12"/>
        <v>97.037037037037038</v>
      </c>
      <c r="K75" s="10">
        <v>129</v>
      </c>
      <c r="L75" s="9">
        <f t="shared" si="13"/>
        <v>31.851851851851855</v>
      </c>
      <c r="M75" s="10">
        <v>264</v>
      </c>
      <c r="N75" s="9">
        <f t="shared" si="14"/>
        <v>65.18518518518519</v>
      </c>
      <c r="O75">
        <v>5</v>
      </c>
      <c r="P75" s="9">
        <f t="shared" si="15"/>
        <v>1.2345679012345678</v>
      </c>
    </row>
    <row r="76" spans="1:16" x14ac:dyDescent="0.2">
      <c r="A76" s="10" t="s">
        <v>146</v>
      </c>
      <c r="B76" s="11" t="s">
        <v>95</v>
      </c>
      <c r="C76" s="10">
        <v>385</v>
      </c>
      <c r="D76">
        <v>53</v>
      </c>
      <c r="E76" s="7">
        <f t="shared" si="8"/>
        <v>28</v>
      </c>
      <c r="F76" s="8">
        <f t="shared" si="9"/>
        <v>7.2727272727272725</v>
      </c>
      <c r="G76" s="10">
        <v>28</v>
      </c>
      <c r="H76" s="9">
        <f t="shared" si="10"/>
        <v>7.2727272727272725</v>
      </c>
      <c r="I76" s="7">
        <f t="shared" si="11"/>
        <v>0</v>
      </c>
      <c r="J76" s="9">
        <f t="shared" si="12"/>
        <v>0</v>
      </c>
      <c r="K76" s="10">
        <v>0</v>
      </c>
      <c r="L76" s="9">
        <f t="shared" si="13"/>
        <v>0</v>
      </c>
      <c r="M76" s="10">
        <v>0</v>
      </c>
      <c r="N76" s="9">
        <f t="shared" si="14"/>
        <v>0</v>
      </c>
      <c r="O76">
        <v>357</v>
      </c>
      <c r="P76" s="9">
        <f t="shared" si="15"/>
        <v>92.72727272727272</v>
      </c>
    </row>
    <row r="77" spans="1:16" x14ac:dyDescent="0.2">
      <c r="A77" s="10" t="s">
        <v>55</v>
      </c>
      <c r="B77" s="11" t="s">
        <v>55</v>
      </c>
      <c r="C77" s="10">
        <v>366</v>
      </c>
      <c r="D77">
        <v>95</v>
      </c>
      <c r="E77" s="7">
        <f t="shared" si="8"/>
        <v>169</v>
      </c>
      <c r="F77" s="8">
        <f t="shared" si="9"/>
        <v>46.174863387978142</v>
      </c>
      <c r="G77" s="10">
        <v>169</v>
      </c>
      <c r="H77" s="9">
        <f t="shared" si="10"/>
        <v>46.174863387978142</v>
      </c>
      <c r="I77" s="7">
        <f t="shared" si="11"/>
        <v>0</v>
      </c>
      <c r="J77" s="9">
        <f t="shared" si="12"/>
        <v>0</v>
      </c>
      <c r="K77" s="10">
        <v>0</v>
      </c>
      <c r="L77" s="9">
        <f t="shared" si="13"/>
        <v>0</v>
      </c>
      <c r="M77" s="10">
        <v>0</v>
      </c>
      <c r="N77" s="9">
        <f t="shared" si="14"/>
        <v>0</v>
      </c>
      <c r="O77">
        <v>197</v>
      </c>
      <c r="P77" s="9">
        <f t="shared" si="15"/>
        <v>53.825136612021865</v>
      </c>
    </row>
    <row r="78" spans="1:16" x14ac:dyDescent="0.2">
      <c r="A78" s="10" t="s">
        <v>65</v>
      </c>
      <c r="B78" s="11" t="s">
        <v>133</v>
      </c>
      <c r="C78" s="10">
        <v>320</v>
      </c>
      <c r="D78">
        <v>42</v>
      </c>
      <c r="E78" s="7">
        <f t="shared" si="8"/>
        <v>6</v>
      </c>
      <c r="F78" s="8">
        <f t="shared" si="9"/>
        <v>1.875</v>
      </c>
      <c r="G78" s="10">
        <v>6</v>
      </c>
      <c r="H78" s="9">
        <f t="shared" si="10"/>
        <v>1.875</v>
      </c>
      <c r="I78" s="7">
        <f t="shared" si="11"/>
        <v>0</v>
      </c>
      <c r="J78" s="9">
        <f t="shared" si="12"/>
        <v>0</v>
      </c>
      <c r="K78" s="10">
        <v>0</v>
      </c>
      <c r="L78" s="9">
        <f t="shared" si="13"/>
        <v>0</v>
      </c>
      <c r="M78" s="10">
        <v>0</v>
      </c>
      <c r="N78" s="9">
        <f t="shared" si="14"/>
        <v>0</v>
      </c>
      <c r="O78">
        <v>314</v>
      </c>
      <c r="P78" s="9">
        <f t="shared" si="15"/>
        <v>98.125</v>
      </c>
    </row>
    <row r="79" spans="1:16" x14ac:dyDescent="0.2">
      <c r="A79" s="10" t="s">
        <v>88</v>
      </c>
      <c r="B79" s="11" t="s">
        <v>88</v>
      </c>
      <c r="C79" s="10">
        <v>317</v>
      </c>
      <c r="D79">
        <v>55</v>
      </c>
      <c r="E79" s="7">
        <f t="shared" si="8"/>
        <v>0</v>
      </c>
      <c r="F79" s="8">
        <f t="shared" si="9"/>
        <v>0</v>
      </c>
      <c r="G79" s="10">
        <v>0</v>
      </c>
      <c r="H79" s="9">
        <f t="shared" si="10"/>
        <v>0</v>
      </c>
      <c r="I79" s="7">
        <f t="shared" si="11"/>
        <v>0</v>
      </c>
      <c r="J79" s="9">
        <f t="shared" si="12"/>
        <v>0</v>
      </c>
      <c r="K79" s="10">
        <v>0</v>
      </c>
      <c r="L79" s="9">
        <f t="shared" si="13"/>
        <v>0</v>
      </c>
      <c r="M79" s="10">
        <v>0</v>
      </c>
      <c r="N79" s="9">
        <f t="shared" si="14"/>
        <v>0</v>
      </c>
      <c r="O79">
        <v>317</v>
      </c>
      <c r="P79" s="9">
        <f t="shared" si="15"/>
        <v>100</v>
      </c>
    </row>
    <row r="80" spans="1:16" x14ac:dyDescent="0.2">
      <c r="A80" s="10" t="s">
        <v>98</v>
      </c>
      <c r="B80" s="11" t="s">
        <v>127</v>
      </c>
      <c r="C80" s="10">
        <v>298</v>
      </c>
      <c r="D80">
        <v>62</v>
      </c>
      <c r="E80" s="7">
        <f t="shared" si="8"/>
        <v>125</v>
      </c>
      <c r="F80" s="8">
        <f t="shared" si="9"/>
        <v>41.946308724832214</v>
      </c>
      <c r="G80" s="10">
        <v>125</v>
      </c>
      <c r="H80" s="9">
        <f t="shared" si="10"/>
        <v>41.946308724832214</v>
      </c>
      <c r="I80" s="7">
        <f t="shared" si="11"/>
        <v>0</v>
      </c>
      <c r="J80" s="9">
        <f t="shared" si="12"/>
        <v>0</v>
      </c>
      <c r="K80" s="10">
        <v>0</v>
      </c>
      <c r="L80" s="9">
        <f t="shared" si="13"/>
        <v>0</v>
      </c>
      <c r="M80" s="10">
        <v>0</v>
      </c>
      <c r="N80" s="9">
        <f t="shared" si="14"/>
        <v>0</v>
      </c>
      <c r="O80">
        <v>173</v>
      </c>
      <c r="P80" s="9">
        <f t="shared" si="15"/>
        <v>58.053691275167786</v>
      </c>
    </row>
    <row r="81" spans="1:16" x14ac:dyDescent="0.2">
      <c r="A81" s="10" t="s">
        <v>145</v>
      </c>
      <c r="B81" s="11" t="s">
        <v>113</v>
      </c>
      <c r="C81" s="10">
        <v>289</v>
      </c>
      <c r="D81">
        <v>57</v>
      </c>
      <c r="E81" s="7">
        <f t="shared" si="8"/>
        <v>0</v>
      </c>
      <c r="F81" s="8">
        <f t="shared" si="9"/>
        <v>0</v>
      </c>
      <c r="G81" s="10">
        <v>0</v>
      </c>
      <c r="H81" s="9">
        <f t="shared" si="10"/>
        <v>0</v>
      </c>
      <c r="I81" s="7">
        <f t="shared" si="11"/>
        <v>0</v>
      </c>
      <c r="J81" s="9">
        <f t="shared" si="12"/>
        <v>0</v>
      </c>
      <c r="K81" s="10">
        <v>0</v>
      </c>
      <c r="L81" s="9">
        <f t="shared" si="13"/>
        <v>0</v>
      </c>
      <c r="M81" s="10">
        <v>0</v>
      </c>
      <c r="N81" s="9">
        <f t="shared" si="14"/>
        <v>0</v>
      </c>
      <c r="O81">
        <v>289</v>
      </c>
      <c r="P81" s="9">
        <f t="shared" si="15"/>
        <v>100</v>
      </c>
    </row>
    <row r="82" spans="1:16" x14ac:dyDescent="0.2">
      <c r="A82" s="10" t="s">
        <v>146</v>
      </c>
      <c r="B82" s="11" t="s">
        <v>96</v>
      </c>
      <c r="C82" s="10">
        <v>282</v>
      </c>
      <c r="D82">
        <v>40</v>
      </c>
      <c r="E82" s="7">
        <f t="shared" si="8"/>
        <v>0</v>
      </c>
      <c r="F82" s="8">
        <f t="shared" si="9"/>
        <v>0</v>
      </c>
      <c r="G82" s="10">
        <v>0</v>
      </c>
      <c r="H82" s="9">
        <f t="shared" si="10"/>
        <v>0</v>
      </c>
      <c r="I82" s="7">
        <f t="shared" si="11"/>
        <v>0</v>
      </c>
      <c r="J82" s="9">
        <f t="shared" si="12"/>
        <v>0</v>
      </c>
      <c r="K82" s="10">
        <v>0</v>
      </c>
      <c r="L82" s="9">
        <f t="shared" si="13"/>
        <v>0</v>
      </c>
      <c r="M82" s="10">
        <v>0</v>
      </c>
      <c r="N82" s="9">
        <f t="shared" si="14"/>
        <v>0</v>
      </c>
      <c r="O82">
        <v>282</v>
      </c>
      <c r="P82" s="9">
        <f t="shared" si="15"/>
        <v>100</v>
      </c>
    </row>
    <row r="83" spans="1:16" x14ac:dyDescent="0.2">
      <c r="A83" s="10" t="s">
        <v>58</v>
      </c>
      <c r="B83" s="11" t="s">
        <v>58</v>
      </c>
      <c r="C83" s="10">
        <v>260</v>
      </c>
      <c r="D83">
        <v>62</v>
      </c>
      <c r="E83" s="7">
        <f t="shared" si="8"/>
        <v>4</v>
      </c>
      <c r="F83" s="8">
        <f t="shared" si="9"/>
        <v>1.5384615384615385</v>
      </c>
      <c r="G83" s="10">
        <v>0</v>
      </c>
      <c r="H83" s="9">
        <f t="shared" si="10"/>
        <v>0</v>
      </c>
      <c r="I83" s="7">
        <f t="shared" si="11"/>
        <v>190</v>
      </c>
      <c r="J83" s="9">
        <f t="shared" si="12"/>
        <v>73.076923076923066</v>
      </c>
      <c r="K83" s="10">
        <v>186</v>
      </c>
      <c r="L83" s="9">
        <f t="shared" si="13"/>
        <v>71.538461538461533</v>
      </c>
      <c r="M83" s="10">
        <v>4</v>
      </c>
      <c r="N83" s="9">
        <f t="shared" si="14"/>
        <v>1.5384615384615385</v>
      </c>
      <c r="O83">
        <v>70</v>
      </c>
      <c r="P83" s="9">
        <f t="shared" si="15"/>
        <v>26.923076923076923</v>
      </c>
    </row>
    <row r="84" spans="1:16" x14ac:dyDescent="0.2">
      <c r="A84" s="10" t="s">
        <v>149</v>
      </c>
      <c r="B84" s="11" t="s">
        <v>122</v>
      </c>
      <c r="C84" s="10">
        <v>258</v>
      </c>
      <c r="D84">
        <v>37</v>
      </c>
      <c r="E84" s="7">
        <f t="shared" si="8"/>
        <v>4</v>
      </c>
      <c r="F84" s="8">
        <f t="shared" si="9"/>
        <v>1.5503875968992249</v>
      </c>
      <c r="G84" s="10">
        <v>4</v>
      </c>
      <c r="H84" s="9">
        <f t="shared" si="10"/>
        <v>1.5503875968992249</v>
      </c>
      <c r="I84" s="7">
        <f t="shared" si="11"/>
        <v>0</v>
      </c>
      <c r="J84" s="9">
        <f t="shared" si="12"/>
        <v>0</v>
      </c>
      <c r="K84" s="10">
        <v>0</v>
      </c>
      <c r="L84" s="9">
        <f t="shared" si="13"/>
        <v>0</v>
      </c>
      <c r="M84" s="10">
        <v>0</v>
      </c>
      <c r="N84" s="9">
        <f t="shared" si="14"/>
        <v>0</v>
      </c>
      <c r="O84">
        <v>254</v>
      </c>
      <c r="P84" s="9">
        <f t="shared" si="15"/>
        <v>98.449612403100772</v>
      </c>
    </row>
    <row r="85" spans="1:16" x14ac:dyDescent="0.2">
      <c r="A85" s="10" t="s">
        <v>18</v>
      </c>
      <c r="B85" s="11" t="s">
        <v>67</v>
      </c>
      <c r="C85" s="10">
        <v>255</v>
      </c>
      <c r="D85">
        <v>28</v>
      </c>
      <c r="E85" s="7">
        <f t="shared" si="8"/>
        <v>35</v>
      </c>
      <c r="F85" s="8">
        <f t="shared" si="9"/>
        <v>13.725490196078432</v>
      </c>
      <c r="G85" s="10">
        <v>35</v>
      </c>
      <c r="H85" s="9">
        <f t="shared" si="10"/>
        <v>13.725490196078432</v>
      </c>
      <c r="I85" s="7">
        <f t="shared" si="11"/>
        <v>0</v>
      </c>
      <c r="J85" s="9">
        <f t="shared" si="12"/>
        <v>0</v>
      </c>
      <c r="K85" s="10">
        <v>0</v>
      </c>
      <c r="L85" s="9">
        <f t="shared" si="13"/>
        <v>0</v>
      </c>
      <c r="M85" s="10">
        <v>0</v>
      </c>
      <c r="N85" s="9">
        <f t="shared" si="14"/>
        <v>0</v>
      </c>
      <c r="O85">
        <v>220</v>
      </c>
      <c r="P85" s="9">
        <f t="shared" si="15"/>
        <v>86.274509803921575</v>
      </c>
    </row>
    <row r="86" spans="1:16" x14ac:dyDescent="0.2">
      <c r="A86" s="10" t="s">
        <v>65</v>
      </c>
      <c r="B86" s="11" t="s">
        <v>62</v>
      </c>
      <c r="C86" s="10">
        <v>248</v>
      </c>
      <c r="D86">
        <v>59</v>
      </c>
      <c r="E86" s="7">
        <f t="shared" si="8"/>
        <v>66</v>
      </c>
      <c r="F86" s="8">
        <f t="shared" si="9"/>
        <v>26.612903225806448</v>
      </c>
      <c r="G86" s="10">
        <v>66</v>
      </c>
      <c r="H86" s="9">
        <f t="shared" si="10"/>
        <v>26.612903225806448</v>
      </c>
      <c r="I86" s="7">
        <f t="shared" si="11"/>
        <v>0</v>
      </c>
      <c r="J86" s="9">
        <f t="shared" si="12"/>
        <v>0</v>
      </c>
      <c r="K86" s="10">
        <v>0</v>
      </c>
      <c r="L86" s="9">
        <f t="shared" si="13"/>
        <v>0</v>
      </c>
      <c r="M86" s="10">
        <v>0</v>
      </c>
      <c r="N86" s="9">
        <f t="shared" si="14"/>
        <v>0</v>
      </c>
      <c r="O86">
        <v>182</v>
      </c>
      <c r="P86" s="9">
        <f t="shared" si="15"/>
        <v>73.387096774193552</v>
      </c>
    </row>
    <row r="87" spans="1:16" x14ac:dyDescent="0.2">
      <c r="A87" s="10" t="s">
        <v>98</v>
      </c>
      <c r="B87" s="11" t="s">
        <v>128</v>
      </c>
      <c r="C87" s="10">
        <v>242</v>
      </c>
      <c r="D87">
        <v>59</v>
      </c>
      <c r="E87" s="7">
        <f t="shared" si="8"/>
        <v>130</v>
      </c>
      <c r="F87" s="8">
        <f t="shared" si="9"/>
        <v>53.719008264462808</v>
      </c>
      <c r="G87" s="10">
        <v>130</v>
      </c>
      <c r="H87" s="9">
        <f t="shared" si="10"/>
        <v>53.719008264462808</v>
      </c>
      <c r="I87" s="7">
        <f t="shared" si="11"/>
        <v>0</v>
      </c>
      <c r="J87" s="9">
        <f t="shared" si="12"/>
        <v>0</v>
      </c>
      <c r="K87" s="10">
        <v>0</v>
      </c>
      <c r="L87" s="9">
        <f t="shared" si="13"/>
        <v>0</v>
      </c>
      <c r="M87" s="10">
        <v>0</v>
      </c>
      <c r="N87" s="9">
        <f t="shared" si="14"/>
        <v>0</v>
      </c>
      <c r="O87">
        <v>112</v>
      </c>
      <c r="P87" s="9">
        <f t="shared" si="15"/>
        <v>46.280991735537192</v>
      </c>
    </row>
    <row r="88" spans="1:16" x14ac:dyDescent="0.2">
      <c r="A88" s="10" t="s">
        <v>66</v>
      </c>
      <c r="B88" s="11" t="s">
        <v>66</v>
      </c>
      <c r="C88" s="10">
        <v>231</v>
      </c>
      <c r="D88">
        <v>51</v>
      </c>
      <c r="E88" s="7">
        <f t="shared" si="8"/>
        <v>98</v>
      </c>
      <c r="F88" s="8">
        <f t="shared" si="9"/>
        <v>42.424242424242422</v>
      </c>
      <c r="G88" s="10">
        <v>13</v>
      </c>
      <c r="H88" s="9">
        <f t="shared" si="10"/>
        <v>5.6277056277056277</v>
      </c>
      <c r="I88" s="7">
        <f t="shared" si="11"/>
        <v>210</v>
      </c>
      <c r="J88" s="9">
        <f t="shared" si="12"/>
        <v>90.909090909090907</v>
      </c>
      <c r="K88" s="10">
        <v>125</v>
      </c>
      <c r="L88" s="9">
        <f t="shared" si="13"/>
        <v>54.112554112554115</v>
      </c>
      <c r="M88" s="10">
        <v>85</v>
      </c>
      <c r="N88" s="9">
        <f t="shared" si="14"/>
        <v>36.796536796536792</v>
      </c>
      <c r="O88">
        <v>8</v>
      </c>
      <c r="P88" s="9">
        <f t="shared" si="15"/>
        <v>3.4632034632034632</v>
      </c>
    </row>
    <row r="89" spans="1:16" x14ac:dyDescent="0.2">
      <c r="A89" s="10" t="s">
        <v>65</v>
      </c>
      <c r="B89" s="11" t="s">
        <v>64</v>
      </c>
      <c r="C89" s="10">
        <v>211</v>
      </c>
      <c r="D89">
        <v>50</v>
      </c>
      <c r="E89" s="7">
        <f t="shared" si="8"/>
        <v>75</v>
      </c>
      <c r="F89" s="8">
        <f t="shared" si="9"/>
        <v>35.545023696682463</v>
      </c>
      <c r="G89" s="10">
        <v>75</v>
      </c>
      <c r="H89" s="9">
        <f t="shared" si="10"/>
        <v>35.545023696682463</v>
      </c>
      <c r="I89" s="7">
        <f t="shared" si="11"/>
        <v>0</v>
      </c>
      <c r="J89" s="9">
        <f t="shared" si="12"/>
        <v>0</v>
      </c>
      <c r="K89" s="10">
        <v>0</v>
      </c>
      <c r="L89" s="9">
        <f t="shared" si="13"/>
        <v>0</v>
      </c>
      <c r="M89" s="10">
        <v>0</v>
      </c>
      <c r="N89" s="9">
        <f t="shared" si="14"/>
        <v>0</v>
      </c>
      <c r="O89">
        <v>136</v>
      </c>
      <c r="P89" s="9">
        <f t="shared" si="15"/>
        <v>64.454976303317537</v>
      </c>
    </row>
    <row r="90" spans="1:16" x14ac:dyDescent="0.2">
      <c r="A90" s="10" t="s">
        <v>98</v>
      </c>
      <c r="B90" s="11" t="s">
        <v>121</v>
      </c>
      <c r="C90" s="10">
        <v>185</v>
      </c>
      <c r="D90">
        <v>39</v>
      </c>
      <c r="E90" s="7">
        <f t="shared" si="8"/>
        <v>20</v>
      </c>
      <c r="F90" s="8">
        <f t="shared" si="9"/>
        <v>10.810810810810811</v>
      </c>
      <c r="G90" s="10">
        <v>20</v>
      </c>
      <c r="H90" s="9">
        <f t="shared" si="10"/>
        <v>10.810810810810811</v>
      </c>
      <c r="I90" s="7">
        <f t="shared" si="11"/>
        <v>0</v>
      </c>
      <c r="J90" s="9">
        <f t="shared" si="12"/>
        <v>0</v>
      </c>
      <c r="K90" s="10">
        <v>0</v>
      </c>
      <c r="L90" s="9">
        <f t="shared" si="13"/>
        <v>0</v>
      </c>
      <c r="M90" s="10">
        <v>0</v>
      </c>
      <c r="N90" s="9">
        <f t="shared" si="14"/>
        <v>0</v>
      </c>
      <c r="O90">
        <v>165</v>
      </c>
      <c r="P90" s="9">
        <f t="shared" si="15"/>
        <v>89.189189189189193</v>
      </c>
    </row>
    <row r="91" spans="1:16" x14ac:dyDescent="0.2">
      <c r="A91" s="10" t="s">
        <v>103</v>
      </c>
      <c r="B91" s="11" t="s">
        <v>103</v>
      </c>
      <c r="C91" s="10">
        <v>184</v>
      </c>
      <c r="D91">
        <v>43</v>
      </c>
      <c r="E91" s="7">
        <f t="shared" si="8"/>
        <v>0</v>
      </c>
      <c r="F91" s="8">
        <f t="shared" si="9"/>
        <v>0</v>
      </c>
      <c r="G91" s="10">
        <v>0</v>
      </c>
      <c r="H91" s="9">
        <f t="shared" si="10"/>
        <v>0</v>
      </c>
      <c r="I91" s="7">
        <f t="shared" si="11"/>
        <v>0</v>
      </c>
      <c r="J91" s="9">
        <f t="shared" si="12"/>
        <v>0</v>
      </c>
      <c r="K91" s="10">
        <v>0</v>
      </c>
      <c r="L91" s="9">
        <f t="shared" si="13"/>
        <v>0</v>
      </c>
      <c r="M91" s="10">
        <v>0</v>
      </c>
      <c r="N91" s="9">
        <f t="shared" si="14"/>
        <v>0</v>
      </c>
      <c r="O91">
        <v>184</v>
      </c>
      <c r="P91" s="9">
        <f t="shared" si="15"/>
        <v>100</v>
      </c>
    </row>
    <row r="92" spans="1:16" x14ac:dyDescent="0.2">
      <c r="A92" s="10" t="s">
        <v>147</v>
      </c>
      <c r="B92" s="11" t="s">
        <v>118</v>
      </c>
      <c r="C92" s="10">
        <v>180</v>
      </c>
      <c r="D92">
        <v>58</v>
      </c>
      <c r="E92" s="7">
        <f t="shared" si="8"/>
        <v>12</v>
      </c>
      <c r="F92" s="8">
        <f t="shared" si="9"/>
        <v>6.666666666666667</v>
      </c>
      <c r="G92" s="10">
        <v>12</v>
      </c>
      <c r="H92" s="9">
        <f t="shared" si="10"/>
        <v>6.666666666666667</v>
      </c>
      <c r="I92" s="7">
        <f t="shared" si="11"/>
        <v>0</v>
      </c>
      <c r="J92" s="9">
        <f t="shared" si="12"/>
        <v>0</v>
      </c>
      <c r="K92" s="10">
        <v>0</v>
      </c>
      <c r="L92" s="9">
        <f t="shared" si="13"/>
        <v>0</v>
      </c>
      <c r="M92" s="10">
        <v>0</v>
      </c>
      <c r="N92" s="9">
        <f t="shared" si="14"/>
        <v>0</v>
      </c>
      <c r="O92">
        <v>168</v>
      </c>
      <c r="P92" s="9">
        <f t="shared" si="15"/>
        <v>93.333333333333329</v>
      </c>
    </row>
    <row r="93" spans="1:16" x14ac:dyDescent="0.2">
      <c r="A93" s="10" t="s">
        <v>125</v>
      </c>
      <c r="B93" s="11" t="s">
        <v>125</v>
      </c>
      <c r="C93" s="10">
        <v>172</v>
      </c>
      <c r="D93">
        <v>38</v>
      </c>
      <c r="E93" s="7">
        <f t="shared" si="8"/>
        <v>0</v>
      </c>
      <c r="F93" s="8">
        <f t="shared" si="9"/>
        <v>0</v>
      </c>
      <c r="G93" s="10">
        <v>0</v>
      </c>
      <c r="H93" s="9">
        <f t="shared" si="10"/>
        <v>0</v>
      </c>
      <c r="I93" s="7">
        <f t="shared" si="11"/>
        <v>0</v>
      </c>
      <c r="J93" s="9">
        <f t="shared" si="12"/>
        <v>0</v>
      </c>
      <c r="K93" s="10">
        <v>0</v>
      </c>
      <c r="L93" s="9">
        <f t="shared" si="13"/>
        <v>0</v>
      </c>
      <c r="M93" s="10">
        <v>0</v>
      </c>
      <c r="N93" s="9">
        <f t="shared" si="14"/>
        <v>0</v>
      </c>
      <c r="O93">
        <v>172</v>
      </c>
      <c r="P93" s="9">
        <f t="shared" si="15"/>
        <v>100</v>
      </c>
    </row>
    <row r="94" spans="1:16" x14ac:dyDescent="0.2">
      <c r="A94" s="10" t="s">
        <v>2</v>
      </c>
      <c r="B94" s="11" t="s">
        <v>70</v>
      </c>
      <c r="C94" s="10">
        <v>162</v>
      </c>
      <c r="D94">
        <v>19</v>
      </c>
      <c r="E94" s="7">
        <f t="shared" si="8"/>
        <v>65</v>
      </c>
      <c r="F94" s="8">
        <f t="shared" si="9"/>
        <v>40.123456790123456</v>
      </c>
      <c r="G94" s="10">
        <v>65</v>
      </c>
      <c r="H94" s="9">
        <f t="shared" si="10"/>
        <v>40.123456790123456</v>
      </c>
      <c r="I94" s="7">
        <f t="shared" si="11"/>
        <v>0</v>
      </c>
      <c r="J94" s="9">
        <f t="shared" si="12"/>
        <v>0</v>
      </c>
      <c r="K94" s="10">
        <v>0</v>
      </c>
      <c r="L94" s="9">
        <f t="shared" si="13"/>
        <v>0</v>
      </c>
      <c r="M94" s="10">
        <v>0</v>
      </c>
      <c r="N94" s="9">
        <f t="shared" si="14"/>
        <v>0</v>
      </c>
      <c r="O94">
        <v>97</v>
      </c>
      <c r="P94" s="9">
        <f t="shared" si="15"/>
        <v>59.876543209876544</v>
      </c>
    </row>
    <row r="95" spans="1:16" x14ac:dyDescent="0.2">
      <c r="A95" s="10" t="s">
        <v>148</v>
      </c>
      <c r="B95" s="11" t="s">
        <v>75</v>
      </c>
      <c r="C95" s="10">
        <v>140</v>
      </c>
      <c r="D95">
        <v>36</v>
      </c>
      <c r="E95" s="7">
        <f t="shared" si="8"/>
        <v>24</v>
      </c>
      <c r="F95" s="8">
        <f t="shared" si="9"/>
        <v>17.142857142857142</v>
      </c>
      <c r="G95" s="10">
        <v>24</v>
      </c>
      <c r="H95" s="9">
        <f t="shared" si="10"/>
        <v>17.142857142857142</v>
      </c>
      <c r="I95" s="7">
        <f t="shared" si="11"/>
        <v>0</v>
      </c>
      <c r="J95" s="9">
        <f t="shared" si="12"/>
        <v>0</v>
      </c>
      <c r="K95" s="10">
        <v>0</v>
      </c>
      <c r="L95" s="9">
        <f t="shared" si="13"/>
        <v>0</v>
      </c>
      <c r="M95" s="10">
        <v>0</v>
      </c>
      <c r="N95" s="9">
        <f t="shared" si="14"/>
        <v>0</v>
      </c>
      <c r="O95">
        <v>116</v>
      </c>
      <c r="P95" s="9">
        <f t="shared" si="15"/>
        <v>82.857142857142861</v>
      </c>
    </row>
    <row r="96" spans="1:16" x14ac:dyDescent="0.2">
      <c r="A96" s="10" t="s">
        <v>98</v>
      </c>
      <c r="B96" s="11" t="s">
        <v>90</v>
      </c>
      <c r="C96" s="10">
        <v>131</v>
      </c>
      <c r="D96">
        <v>31</v>
      </c>
      <c r="E96" s="7">
        <f t="shared" si="8"/>
        <v>77</v>
      </c>
      <c r="F96" s="8">
        <f t="shared" si="9"/>
        <v>58.778625954198475</v>
      </c>
      <c r="G96" s="10">
        <v>77</v>
      </c>
      <c r="H96" s="9">
        <f t="shared" si="10"/>
        <v>58.778625954198475</v>
      </c>
      <c r="I96" s="7">
        <f t="shared" si="11"/>
        <v>0</v>
      </c>
      <c r="J96" s="9">
        <f t="shared" si="12"/>
        <v>0</v>
      </c>
      <c r="K96" s="10">
        <v>0</v>
      </c>
      <c r="L96" s="9">
        <f t="shared" si="13"/>
        <v>0</v>
      </c>
      <c r="M96" s="10">
        <v>0</v>
      </c>
      <c r="N96" s="9">
        <f t="shared" si="14"/>
        <v>0</v>
      </c>
      <c r="O96">
        <v>54</v>
      </c>
      <c r="P96" s="9">
        <f t="shared" si="15"/>
        <v>41.221374045801525</v>
      </c>
    </row>
    <row r="97" spans="1:16" x14ac:dyDescent="0.2">
      <c r="A97" s="10" t="s">
        <v>65</v>
      </c>
      <c r="B97" s="11" t="s">
        <v>72</v>
      </c>
      <c r="C97" s="10">
        <v>129</v>
      </c>
      <c r="D97">
        <v>29</v>
      </c>
      <c r="E97" s="7">
        <f t="shared" si="8"/>
        <v>88</v>
      </c>
      <c r="F97" s="8">
        <f t="shared" si="9"/>
        <v>68.217054263565885</v>
      </c>
      <c r="G97" s="10">
        <v>88</v>
      </c>
      <c r="H97" s="9">
        <f t="shared" si="10"/>
        <v>68.217054263565885</v>
      </c>
      <c r="I97" s="7">
        <f t="shared" si="11"/>
        <v>0</v>
      </c>
      <c r="J97" s="9">
        <f t="shared" si="12"/>
        <v>0</v>
      </c>
      <c r="K97" s="10">
        <v>0</v>
      </c>
      <c r="L97" s="9">
        <f t="shared" si="13"/>
        <v>0</v>
      </c>
      <c r="M97" s="10">
        <v>0</v>
      </c>
      <c r="N97" s="9">
        <f t="shared" si="14"/>
        <v>0</v>
      </c>
      <c r="O97">
        <v>41</v>
      </c>
      <c r="P97" s="9">
        <f t="shared" si="15"/>
        <v>31.782945736434108</v>
      </c>
    </row>
    <row r="98" spans="1:16" x14ac:dyDescent="0.2">
      <c r="A98" s="10" t="s">
        <v>123</v>
      </c>
      <c r="B98" s="11" t="s">
        <v>123</v>
      </c>
      <c r="C98" s="10">
        <v>126</v>
      </c>
      <c r="D98">
        <v>26</v>
      </c>
      <c r="E98" s="7">
        <f t="shared" si="8"/>
        <v>0</v>
      </c>
      <c r="F98" s="8">
        <f t="shared" si="9"/>
        <v>0</v>
      </c>
      <c r="G98" s="10">
        <v>0</v>
      </c>
      <c r="H98" s="9">
        <f t="shared" si="10"/>
        <v>0</v>
      </c>
      <c r="I98" s="7">
        <f t="shared" si="11"/>
        <v>0</v>
      </c>
      <c r="J98" s="9">
        <f t="shared" si="12"/>
        <v>0</v>
      </c>
      <c r="K98" s="10">
        <v>0</v>
      </c>
      <c r="L98" s="9">
        <f t="shared" si="13"/>
        <v>0</v>
      </c>
      <c r="M98" s="10">
        <v>0</v>
      </c>
      <c r="N98" s="9">
        <f t="shared" si="14"/>
        <v>0</v>
      </c>
      <c r="O98">
        <v>126</v>
      </c>
      <c r="P98" s="9">
        <f t="shared" si="15"/>
        <v>100</v>
      </c>
    </row>
    <row r="99" spans="1:16" x14ac:dyDescent="0.2">
      <c r="A99" s="10" t="s">
        <v>124</v>
      </c>
      <c r="B99" s="11" t="s">
        <v>124</v>
      </c>
      <c r="C99" s="10">
        <v>111</v>
      </c>
      <c r="D99">
        <v>23</v>
      </c>
      <c r="E99" s="7">
        <f t="shared" si="8"/>
        <v>0</v>
      </c>
      <c r="F99" s="8">
        <f t="shared" si="9"/>
        <v>0</v>
      </c>
      <c r="G99" s="10">
        <v>0</v>
      </c>
      <c r="H99" s="9">
        <f t="shared" si="10"/>
        <v>0</v>
      </c>
      <c r="I99" s="7">
        <f t="shared" si="11"/>
        <v>0</v>
      </c>
      <c r="J99" s="9">
        <f t="shared" si="12"/>
        <v>0</v>
      </c>
      <c r="K99" s="10">
        <v>0</v>
      </c>
      <c r="L99" s="9">
        <f t="shared" si="13"/>
        <v>0</v>
      </c>
      <c r="M99" s="10">
        <v>0</v>
      </c>
      <c r="N99" s="9">
        <f t="shared" si="14"/>
        <v>0</v>
      </c>
      <c r="O99">
        <v>111</v>
      </c>
      <c r="P99" s="9">
        <f t="shared" si="15"/>
        <v>100</v>
      </c>
    </row>
    <row r="100" spans="1:16" x14ac:dyDescent="0.2">
      <c r="A100" s="10" t="s">
        <v>146</v>
      </c>
      <c r="B100" s="11" t="s">
        <v>87</v>
      </c>
      <c r="C100" s="10">
        <v>108</v>
      </c>
      <c r="D100">
        <v>15</v>
      </c>
      <c r="E100" s="7">
        <f t="shared" si="8"/>
        <v>0</v>
      </c>
      <c r="F100" s="8">
        <f t="shared" si="9"/>
        <v>0</v>
      </c>
      <c r="G100" s="10">
        <v>0</v>
      </c>
      <c r="H100" s="9">
        <f t="shared" si="10"/>
        <v>0</v>
      </c>
      <c r="I100" s="7">
        <f t="shared" si="11"/>
        <v>0</v>
      </c>
      <c r="J100" s="9">
        <f t="shared" si="12"/>
        <v>0</v>
      </c>
      <c r="K100" s="10">
        <v>0</v>
      </c>
      <c r="L100" s="9">
        <f t="shared" si="13"/>
        <v>0</v>
      </c>
      <c r="M100" s="10">
        <v>0</v>
      </c>
      <c r="N100" s="9">
        <f t="shared" si="14"/>
        <v>0</v>
      </c>
      <c r="O100">
        <v>108</v>
      </c>
      <c r="P100" s="9">
        <f t="shared" si="15"/>
        <v>100</v>
      </c>
    </row>
    <row r="101" spans="1:16" x14ac:dyDescent="0.2">
      <c r="A101" s="10" t="s">
        <v>65</v>
      </c>
      <c r="B101" s="11" t="s">
        <v>69</v>
      </c>
      <c r="C101" s="10">
        <v>108</v>
      </c>
      <c r="D101">
        <v>29</v>
      </c>
      <c r="E101" s="7">
        <f t="shared" si="8"/>
        <v>6</v>
      </c>
      <c r="F101" s="8">
        <f t="shared" si="9"/>
        <v>5.5555555555555554</v>
      </c>
      <c r="G101" s="10">
        <v>6</v>
      </c>
      <c r="H101" s="9">
        <f t="shared" si="10"/>
        <v>5.5555555555555554</v>
      </c>
      <c r="I101" s="7">
        <f t="shared" si="11"/>
        <v>0</v>
      </c>
      <c r="J101" s="9">
        <f t="shared" si="12"/>
        <v>0</v>
      </c>
      <c r="K101" s="10">
        <v>0</v>
      </c>
      <c r="L101" s="9">
        <f t="shared" si="13"/>
        <v>0</v>
      </c>
      <c r="M101" s="10">
        <v>0</v>
      </c>
      <c r="N101" s="9">
        <f t="shared" si="14"/>
        <v>0</v>
      </c>
      <c r="O101">
        <v>102</v>
      </c>
      <c r="P101" s="9">
        <f t="shared" si="15"/>
        <v>94.444444444444443</v>
      </c>
    </row>
    <row r="102" spans="1:16" x14ac:dyDescent="0.2">
      <c r="A102" s="10" t="s">
        <v>65</v>
      </c>
      <c r="B102" s="11" t="s">
        <v>110</v>
      </c>
      <c r="C102" s="10">
        <v>101</v>
      </c>
      <c r="D102">
        <v>24</v>
      </c>
      <c r="E102" s="7">
        <f t="shared" si="8"/>
        <v>12</v>
      </c>
      <c r="F102" s="8">
        <f t="shared" si="9"/>
        <v>11.881188118811881</v>
      </c>
      <c r="G102" s="10">
        <v>12</v>
      </c>
      <c r="H102" s="9">
        <f t="shared" si="10"/>
        <v>11.881188118811881</v>
      </c>
      <c r="I102" s="7">
        <f t="shared" si="11"/>
        <v>0</v>
      </c>
      <c r="J102" s="9">
        <f t="shared" si="12"/>
        <v>0</v>
      </c>
      <c r="K102" s="10">
        <v>0</v>
      </c>
      <c r="L102" s="9">
        <f t="shared" si="13"/>
        <v>0</v>
      </c>
      <c r="M102" s="10">
        <v>0</v>
      </c>
      <c r="N102" s="9">
        <f t="shared" si="14"/>
        <v>0</v>
      </c>
      <c r="O102">
        <v>89</v>
      </c>
      <c r="P102" s="9">
        <f t="shared" si="15"/>
        <v>88.118811881188122</v>
      </c>
    </row>
    <row r="103" spans="1:16" x14ac:dyDescent="0.2">
      <c r="A103" s="10" t="s">
        <v>149</v>
      </c>
      <c r="B103" s="11" t="s">
        <v>89</v>
      </c>
      <c r="C103" s="10">
        <v>96</v>
      </c>
      <c r="D103">
        <v>17</v>
      </c>
      <c r="E103" s="7">
        <f t="shared" si="8"/>
        <v>0</v>
      </c>
      <c r="F103" s="8">
        <f t="shared" si="9"/>
        <v>0</v>
      </c>
      <c r="G103" s="10">
        <v>0</v>
      </c>
      <c r="H103" s="9">
        <f t="shared" si="10"/>
        <v>0</v>
      </c>
      <c r="I103" s="7">
        <f t="shared" si="11"/>
        <v>0</v>
      </c>
      <c r="J103" s="9">
        <f t="shared" si="12"/>
        <v>0</v>
      </c>
      <c r="K103" s="10">
        <v>0</v>
      </c>
      <c r="L103" s="9">
        <f t="shared" si="13"/>
        <v>0</v>
      </c>
      <c r="M103" s="10">
        <v>0</v>
      </c>
      <c r="N103" s="9">
        <f t="shared" si="14"/>
        <v>0</v>
      </c>
      <c r="O103">
        <v>96</v>
      </c>
      <c r="P103" s="9">
        <f t="shared" si="15"/>
        <v>100</v>
      </c>
    </row>
    <row r="104" spans="1:16" x14ac:dyDescent="0.2">
      <c r="A104" s="10" t="s">
        <v>91</v>
      </c>
      <c r="B104" s="11" t="s">
        <v>91</v>
      </c>
      <c r="C104" s="10">
        <v>93</v>
      </c>
      <c r="D104">
        <v>20</v>
      </c>
      <c r="E104" s="7">
        <f t="shared" si="8"/>
        <v>0</v>
      </c>
      <c r="F104" s="8">
        <f t="shared" si="9"/>
        <v>0</v>
      </c>
      <c r="G104" s="10">
        <v>0</v>
      </c>
      <c r="H104" s="9">
        <f t="shared" si="10"/>
        <v>0</v>
      </c>
      <c r="I104" s="7">
        <f t="shared" si="11"/>
        <v>0</v>
      </c>
      <c r="J104" s="9">
        <f t="shared" si="12"/>
        <v>0</v>
      </c>
      <c r="K104" s="10">
        <v>0</v>
      </c>
      <c r="L104" s="9">
        <f t="shared" si="13"/>
        <v>0</v>
      </c>
      <c r="M104" s="10">
        <v>0</v>
      </c>
      <c r="N104" s="9">
        <f t="shared" si="14"/>
        <v>0</v>
      </c>
      <c r="O104">
        <v>93</v>
      </c>
      <c r="P104" s="9">
        <f t="shared" si="15"/>
        <v>100</v>
      </c>
    </row>
    <row r="105" spans="1:16" x14ac:dyDescent="0.2">
      <c r="A105" s="10" t="s">
        <v>131</v>
      </c>
      <c r="B105" s="11" t="s">
        <v>131</v>
      </c>
      <c r="C105" s="10">
        <v>93</v>
      </c>
      <c r="D105">
        <v>16</v>
      </c>
      <c r="E105" s="7">
        <f t="shared" si="8"/>
        <v>5</v>
      </c>
      <c r="F105" s="8">
        <f t="shared" si="9"/>
        <v>5.376344086021505</v>
      </c>
      <c r="G105" s="10">
        <v>5</v>
      </c>
      <c r="H105" s="9">
        <f t="shared" si="10"/>
        <v>5.376344086021505</v>
      </c>
      <c r="I105" s="7">
        <f t="shared" si="11"/>
        <v>0</v>
      </c>
      <c r="J105" s="9">
        <f t="shared" si="12"/>
        <v>0</v>
      </c>
      <c r="K105" s="10">
        <v>0</v>
      </c>
      <c r="L105" s="9">
        <f t="shared" si="13"/>
        <v>0</v>
      </c>
      <c r="M105" s="10">
        <v>0</v>
      </c>
      <c r="N105" s="9">
        <f t="shared" si="14"/>
        <v>0</v>
      </c>
      <c r="O105">
        <v>88</v>
      </c>
      <c r="P105" s="9">
        <f t="shared" si="15"/>
        <v>94.623655913978496</v>
      </c>
    </row>
    <row r="106" spans="1:16" x14ac:dyDescent="0.2">
      <c r="A106" s="10" t="s">
        <v>112</v>
      </c>
      <c r="B106" s="11" t="s">
        <v>112</v>
      </c>
      <c r="C106" s="10">
        <v>91</v>
      </c>
      <c r="D106">
        <v>20</v>
      </c>
      <c r="E106" s="7">
        <f t="shared" si="8"/>
        <v>32</v>
      </c>
      <c r="F106" s="8">
        <f t="shared" si="9"/>
        <v>35.164835164835168</v>
      </c>
      <c r="G106" s="10">
        <v>32</v>
      </c>
      <c r="H106" s="9">
        <f t="shared" si="10"/>
        <v>35.164835164835168</v>
      </c>
      <c r="I106" s="7">
        <f t="shared" si="11"/>
        <v>0</v>
      </c>
      <c r="J106" s="9">
        <f t="shared" si="12"/>
        <v>0</v>
      </c>
      <c r="K106" s="10">
        <v>0</v>
      </c>
      <c r="L106" s="9">
        <f t="shared" si="13"/>
        <v>0</v>
      </c>
      <c r="M106" s="10">
        <v>0</v>
      </c>
      <c r="N106" s="9">
        <f t="shared" si="14"/>
        <v>0</v>
      </c>
      <c r="O106">
        <v>59</v>
      </c>
      <c r="P106" s="9">
        <f t="shared" si="15"/>
        <v>64.835164835164832</v>
      </c>
    </row>
    <row r="107" spans="1:16" x14ac:dyDescent="0.2">
      <c r="A107" s="10" t="s">
        <v>71</v>
      </c>
      <c r="B107" s="11" t="s">
        <v>71</v>
      </c>
      <c r="C107" s="10">
        <v>90</v>
      </c>
      <c r="D107">
        <v>20</v>
      </c>
      <c r="E107" s="7">
        <f t="shared" si="8"/>
        <v>14</v>
      </c>
      <c r="F107" s="8">
        <f t="shared" si="9"/>
        <v>15.555555555555555</v>
      </c>
      <c r="G107" s="10">
        <v>14</v>
      </c>
      <c r="H107" s="9">
        <f t="shared" si="10"/>
        <v>15.555555555555555</v>
      </c>
      <c r="I107" s="7">
        <f t="shared" si="11"/>
        <v>0</v>
      </c>
      <c r="J107" s="9">
        <f t="shared" si="12"/>
        <v>0</v>
      </c>
      <c r="K107" s="10">
        <v>0</v>
      </c>
      <c r="L107" s="9">
        <f t="shared" si="13"/>
        <v>0</v>
      </c>
      <c r="M107" s="10">
        <v>0</v>
      </c>
      <c r="N107" s="9">
        <f t="shared" si="14"/>
        <v>0</v>
      </c>
      <c r="O107">
        <v>76</v>
      </c>
      <c r="P107" s="9">
        <f t="shared" si="15"/>
        <v>84.444444444444443</v>
      </c>
    </row>
    <row r="108" spans="1:16" x14ac:dyDescent="0.2">
      <c r="A108" s="10" t="s">
        <v>132</v>
      </c>
      <c r="B108" s="11" t="s">
        <v>132</v>
      </c>
      <c r="C108" s="10">
        <v>89</v>
      </c>
      <c r="D108">
        <v>22</v>
      </c>
      <c r="E108" s="7">
        <f t="shared" si="8"/>
        <v>0</v>
      </c>
      <c r="F108" s="8">
        <f t="shared" si="9"/>
        <v>0</v>
      </c>
      <c r="G108" s="10">
        <v>0</v>
      </c>
      <c r="H108" s="9">
        <f t="shared" si="10"/>
        <v>0</v>
      </c>
      <c r="I108" s="7">
        <f t="shared" si="11"/>
        <v>0</v>
      </c>
      <c r="J108" s="9">
        <f t="shared" si="12"/>
        <v>0</v>
      </c>
      <c r="K108" s="10">
        <v>0</v>
      </c>
      <c r="L108" s="9">
        <f t="shared" si="13"/>
        <v>0</v>
      </c>
      <c r="M108" s="10">
        <v>0</v>
      </c>
      <c r="N108" s="9">
        <f t="shared" si="14"/>
        <v>0</v>
      </c>
      <c r="O108">
        <v>89</v>
      </c>
      <c r="P108" s="9">
        <f t="shared" si="15"/>
        <v>100</v>
      </c>
    </row>
    <row r="109" spans="1:16" x14ac:dyDescent="0.2">
      <c r="A109" s="10" t="s">
        <v>149</v>
      </c>
      <c r="B109" s="11" t="s">
        <v>150</v>
      </c>
      <c r="C109" s="10">
        <v>77</v>
      </c>
      <c r="D109">
        <v>15</v>
      </c>
      <c r="E109" s="7">
        <f t="shared" si="8"/>
        <v>0</v>
      </c>
      <c r="F109" s="8">
        <f t="shared" si="9"/>
        <v>0</v>
      </c>
      <c r="G109" s="10">
        <v>0</v>
      </c>
      <c r="H109" s="9">
        <f t="shared" si="10"/>
        <v>0</v>
      </c>
      <c r="I109" s="7">
        <f t="shared" si="11"/>
        <v>0</v>
      </c>
      <c r="J109" s="9">
        <f t="shared" si="12"/>
        <v>0</v>
      </c>
      <c r="K109" s="10">
        <v>0</v>
      </c>
      <c r="L109" s="9">
        <f t="shared" si="13"/>
        <v>0</v>
      </c>
      <c r="M109" s="10">
        <v>0</v>
      </c>
      <c r="N109" s="9">
        <f t="shared" si="14"/>
        <v>0</v>
      </c>
      <c r="O109">
        <v>77</v>
      </c>
      <c r="P109" s="9">
        <f t="shared" si="15"/>
        <v>100</v>
      </c>
    </row>
    <row r="110" spans="1:16" x14ac:dyDescent="0.2">
      <c r="A110" s="10" t="s">
        <v>99</v>
      </c>
      <c r="B110" s="11" t="s">
        <v>99</v>
      </c>
      <c r="C110" s="10">
        <v>60</v>
      </c>
      <c r="D110">
        <v>13</v>
      </c>
      <c r="E110" s="7">
        <f t="shared" si="8"/>
        <v>0</v>
      </c>
      <c r="F110" s="8">
        <f t="shared" si="9"/>
        <v>0</v>
      </c>
      <c r="G110" s="10">
        <v>0</v>
      </c>
      <c r="H110" s="9">
        <f t="shared" si="10"/>
        <v>0</v>
      </c>
      <c r="I110" s="7">
        <f t="shared" si="11"/>
        <v>0</v>
      </c>
      <c r="J110" s="9">
        <f t="shared" si="12"/>
        <v>0</v>
      </c>
      <c r="K110" s="10">
        <v>0</v>
      </c>
      <c r="L110" s="9">
        <f t="shared" si="13"/>
        <v>0</v>
      </c>
      <c r="M110" s="10">
        <v>0</v>
      </c>
      <c r="N110" s="9">
        <f t="shared" si="14"/>
        <v>0</v>
      </c>
      <c r="O110">
        <v>60</v>
      </c>
      <c r="P110" s="9">
        <f t="shared" si="15"/>
        <v>100</v>
      </c>
    </row>
    <row r="111" spans="1:16" x14ac:dyDescent="0.2">
      <c r="A111" s="10" t="s">
        <v>145</v>
      </c>
      <c r="B111" s="11" t="s">
        <v>74</v>
      </c>
      <c r="C111" s="10">
        <v>56</v>
      </c>
      <c r="D111">
        <v>8</v>
      </c>
      <c r="E111" s="7">
        <f t="shared" si="8"/>
        <v>1</v>
      </c>
      <c r="F111" s="8">
        <f t="shared" si="9"/>
        <v>1.7857142857142856</v>
      </c>
      <c r="G111" s="10">
        <v>1</v>
      </c>
      <c r="H111" s="9">
        <f t="shared" si="10"/>
        <v>1.7857142857142856</v>
      </c>
      <c r="I111" s="7">
        <f t="shared" si="11"/>
        <v>0</v>
      </c>
      <c r="J111" s="9">
        <f t="shared" si="12"/>
        <v>0</v>
      </c>
      <c r="K111" s="10">
        <v>0</v>
      </c>
      <c r="L111" s="9">
        <f t="shared" si="13"/>
        <v>0</v>
      </c>
      <c r="M111" s="10">
        <v>0</v>
      </c>
      <c r="N111" s="9">
        <f t="shared" si="14"/>
        <v>0</v>
      </c>
      <c r="O111">
        <v>55</v>
      </c>
      <c r="P111" s="9">
        <f t="shared" si="15"/>
        <v>98.214285714285708</v>
      </c>
    </row>
    <row r="112" spans="1:16" x14ac:dyDescent="0.2">
      <c r="A112" s="10" t="s">
        <v>149</v>
      </c>
      <c r="B112" s="11" t="s">
        <v>94</v>
      </c>
      <c r="C112" s="10">
        <v>54</v>
      </c>
      <c r="D112">
        <v>11</v>
      </c>
      <c r="E112" s="7">
        <f t="shared" si="8"/>
        <v>0</v>
      </c>
      <c r="F112" s="8">
        <f t="shared" si="9"/>
        <v>0</v>
      </c>
      <c r="G112" s="10">
        <v>0</v>
      </c>
      <c r="H112" s="9">
        <f t="shared" si="10"/>
        <v>0</v>
      </c>
      <c r="I112" s="7">
        <f t="shared" si="11"/>
        <v>0</v>
      </c>
      <c r="J112" s="9">
        <f t="shared" si="12"/>
        <v>0</v>
      </c>
      <c r="K112" s="10">
        <v>0</v>
      </c>
      <c r="L112" s="9">
        <f t="shared" si="13"/>
        <v>0</v>
      </c>
      <c r="M112" s="10">
        <v>0</v>
      </c>
      <c r="N112" s="9">
        <f t="shared" si="14"/>
        <v>0</v>
      </c>
      <c r="O112">
        <v>54</v>
      </c>
      <c r="P112" s="9">
        <f t="shared" si="15"/>
        <v>100</v>
      </c>
    </row>
    <row r="113" spans="1:16" x14ac:dyDescent="0.2">
      <c r="A113" s="10" t="s">
        <v>145</v>
      </c>
      <c r="B113" s="11" t="s">
        <v>97</v>
      </c>
      <c r="C113" s="10">
        <v>54</v>
      </c>
      <c r="D113">
        <v>9</v>
      </c>
      <c r="E113" s="7">
        <f t="shared" si="8"/>
        <v>0</v>
      </c>
      <c r="F113" s="8">
        <f t="shared" si="9"/>
        <v>0</v>
      </c>
      <c r="G113" s="10">
        <v>0</v>
      </c>
      <c r="H113" s="9">
        <f t="shared" si="10"/>
        <v>0</v>
      </c>
      <c r="I113" s="7">
        <f t="shared" si="11"/>
        <v>0</v>
      </c>
      <c r="J113" s="9">
        <f t="shared" si="12"/>
        <v>0</v>
      </c>
      <c r="K113" s="10">
        <v>0</v>
      </c>
      <c r="L113" s="9">
        <f t="shared" si="13"/>
        <v>0</v>
      </c>
      <c r="M113" s="10">
        <v>0</v>
      </c>
      <c r="N113" s="9">
        <f t="shared" si="14"/>
        <v>0</v>
      </c>
      <c r="O113">
        <v>54</v>
      </c>
      <c r="P113" s="9">
        <f t="shared" si="15"/>
        <v>100</v>
      </c>
    </row>
    <row r="114" spans="1:16" x14ac:dyDescent="0.2">
      <c r="A114" s="10" t="s">
        <v>146</v>
      </c>
      <c r="B114" s="11" t="s">
        <v>119</v>
      </c>
      <c r="C114" s="10">
        <v>53</v>
      </c>
      <c r="D114">
        <v>9</v>
      </c>
      <c r="E114" s="7">
        <f t="shared" si="8"/>
        <v>0</v>
      </c>
      <c r="F114" s="8">
        <f t="shared" si="9"/>
        <v>0</v>
      </c>
      <c r="G114" s="10">
        <v>0</v>
      </c>
      <c r="H114" s="9">
        <f t="shared" si="10"/>
        <v>0</v>
      </c>
      <c r="I114" s="7">
        <f t="shared" si="11"/>
        <v>0</v>
      </c>
      <c r="J114" s="9">
        <f t="shared" si="12"/>
        <v>0</v>
      </c>
      <c r="K114" s="10">
        <v>0</v>
      </c>
      <c r="L114" s="9">
        <f t="shared" si="13"/>
        <v>0</v>
      </c>
      <c r="M114" s="10">
        <v>0</v>
      </c>
      <c r="N114" s="9">
        <f t="shared" si="14"/>
        <v>0</v>
      </c>
      <c r="O114">
        <v>53</v>
      </c>
      <c r="P114" s="9">
        <f t="shared" si="15"/>
        <v>100</v>
      </c>
    </row>
    <row r="115" spans="1:16" x14ac:dyDescent="0.2">
      <c r="A115" s="10" t="s">
        <v>148</v>
      </c>
      <c r="B115" s="11" t="s">
        <v>77</v>
      </c>
      <c r="C115" s="10">
        <v>40</v>
      </c>
      <c r="D115">
        <v>9</v>
      </c>
      <c r="E115" s="7">
        <f t="shared" si="8"/>
        <v>31</v>
      </c>
      <c r="F115" s="8">
        <f t="shared" si="9"/>
        <v>77.5</v>
      </c>
      <c r="G115" s="10">
        <v>31</v>
      </c>
      <c r="H115" s="9">
        <f t="shared" si="10"/>
        <v>77.5</v>
      </c>
      <c r="I115" s="7">
        <f t="shared" si="11"/>
        <v>0</v>
      </c>
      <c r="J115" s="9">
        <f t="shared" si="12"/>
        <v>0</v>
      </c>
      <c r="K115" s="10">
        <v>0</v>
      </c>
      <c r="L115" s="9">
        <f t="shared" si="13"/>
        <v>0</v>
      </c>
      <c r="M115" s="10">
        <v>0</v>
      </c>
      <c r="N115" s="9">
        <f t="shared" si="14"/>
        <v>0</v>
      </c>
      <c r="O115">
        <v>9</v>
      </c>
      <c r="P115" s="9">
        <f t="shared" si="15"/>
        <v>22.5</v>
      </c>
    </row>
    <row r="116" spans="1:16" x14ac:dyDescent="0.2">
      <c r="A116" s="10" t="s">
        <v>145</v>
      </c>
      <c r="B116" s="11" t="s">
        <v>151</v>
      </c>
      <c r="C116" s="10">
        <v>38</v>
      </c>
      <c r="D116">
        <v>8</v>
      </c>
      <c r="E116" s="7">
        <f t="shared" si="8"/>
        <v>0</v>
      </c>
      <c r="F116" s="8">
        <f t="shared" si="9"/>
        <v>0</v>
      </c>
      <c r="G116" s="10">
        <v>0</v>
      </c>
      <c r="H116" s="9">
        <f t="shared" si="10"/>
        <v>0</v>
      </c>
      <c r="I116" s="7">
        <f t="shared" si="11"/>
        <v>0</v>
      </c>
      <c r="J116" s="9">
        <f t="shared" si="12"/>
        <v>0</v>
      </c>
      <c r="K116" s="10">
        <v>0</v>
      </c>
      <c r="L116" s="9">
        <f t="shared" si="13"/>
        <v>0</v>
      </c>
      <c r="M116" s="10">
        <v>0</v>
      </c>
      <c r="N116" s="9">
        <f t="shared" si="14"/>
        <v>0</v>
      </c>
      <c r="O116">
        <v>38</v>
      </c>
      <c r="P116" s="9">
        <f t="shared" si="15"/>
        <v>100</v>
      </c>
    </row>
    <row r="117" spans="1:16" x14ac:dyDescent="0.2">
      <c r="A117" s="10" t="s">
        <v>76</v>
      </c>
      <c r="B117" s="11" t="s">
        <v>76</v>
      </c>
      <c r="C117" s="10">
        <v>36</v>
      </c>
      <c r="D117">
        <v>10</v>
      </c>
      <c r="E117" s="7">
        <f t="shared" si="8"/>
        <v>0</v>
      </c>
      <c r="F117" s="8">
        <f t="shared" si="9"/>
        <v>0</v>
      </c>
      <c r="G117" s="10">
        <v>0</v>
      </c>
      <c r="H117" s="9">
        <f t="shared" si="10"/>
        <v>0</v>
      </c>
      <c r="I117" s="7">
        <f t="shared" si="11"/>
        <v>36</v>
      </c>
      <c r="J117" s="9">
        <f t="shared" si="12"/>
        <v>100</v>
      </c>
      <c r="K117" s="10">
        <v>36</v>
      </c>
      <c r="L117" s="9">
        <f t="shared" si="13"/>
        <v>100</v>
      </c>
      <c r="M117" s="10">
        <v>0</v>
      </c>
      <c r="N117" s="9">
        <f t="shared" si="14"/>
        <v>0</v>
      </c>
      <c r="O117">
        <v>0</v>
      </c>
      <c r="P117" s="9">
        <f t="shared" si="15"/>
        <v>0</v>
      </c>
    </row>
    <row r="118" spans="1:16" x14ac:dyDescent="0.2">
      <c r="A118" s="10" t="s">
        <v>145</v>
      </c>
      <c r="B118" s="11" t="s">
        <v>126</v>
      </c>
      <c r="C118" s="10">
        <v>34</v>
      </c>
      <c r="D118">
        <v>6</v>
      </c>
      <c r="E118" s="7">
        <f t="shared" si="8"/>
        <v>0</v>
      </c>
      <c r="F118" s="8">
        <f t="shared" si="9"/>
        <v>0</v>
      </c>
      <c r="G118" s="10">
        <v>0</v>
      </c>
      <c r="H118" s="9">
        <f t="shared" si="10"/>
        <v>0</v>
      </c>
      <c r="I118" s="7">
        <f t="shared" si="11"/>
        <v>0</v>
      </c>
      <c r="J118" s="9">
        <f t="shared" si="12"/>
        <v>0</v>
      </c>
      <c r="K118" s="10">
        <v>0</v>
      </c>
      <c r="L118" s="9">
        <f t="shared" si="13"/>
        <v>0</v>
      </c>
      <c r="M118" s="10">
        <v>0</v>
      </c>
      <c r="N118" s="9">
        <f t="shared" si="14"/>
        <v>0</v>
      </c>
      <c r="O118">
        <v>34</v>
      </c>
      <c r="P118" s="9">
        <f t="shared" si="15"/>
        <v>100</v>
      </c>
    </row>
    <row r="119" spans="1:16" x14ac:dyDescent="0.2">
      <c r="A119" s="10" t="s">
        <v>65</v>
      </c>
      <c r="B119" s="11" t="s">
        <v>135</v>
      </c>
      <c r="C119" s="10">
        <v>33</v>
      </c>
      <c r="D119">
        <v>8</v>
      </c>
      <c r="E119" s="7">
        <f t="shared" si="8"/>
        <v>0</v>
      </c>
      <c r="F119" s="8">
        <f t="shared" si="9"/>
        <v>0</v>
      </c>
      <c r="G119" s="10">
        <v>0</v>
      </c>
      <c r="H119" s="9">
        <f t="shared" si="10"/>
        <v>0</v>
      </c>
      <c r="I119" s="7">
        <f t="shared" si="11"/>
        <v>0</v>
      </c>
      <c r="J119" s="9">
        <f t="shared" si="12"/>
        <v>0</v>
      </c>
      <c r="K119" s="10">
        <v>0</v>
      </c>
      <c r="L119" s="9">
        <f t="shared" si="13"/>
        <v>0</v>
      </c>
      <c r="M119" s="10">
        <v>0</v>
      </c>
      <c r="N119" s="9">
        <f t="shared" si="14"/>
        <v>0</v>
      </c>
      <c r="O119">
        <v>33</v>
      </c>
      <c r="P119" s="9">
        <f t="shared" si="15"/>
        <v>100</v>
      </c>
    </row>
    <row r="120" spans="1:16" x14ac:dyDescent="0.2">
      <c r="A120" s="10" t="s">
        <v>45</v>
      </c>
      <c r="B120" s="11" t="s">
        <v>78</v>
      </c>
      <c r="C120" s="10">
        <v>27</v>
      </c>
      <c r="D120">
        <v>4</v>
      </c>
      <c r="E120" s="7">
        <f t="shared" si="8"/>
        <v>0</v>
      </c>
      <c r="F120" s="8">
        <f t="shared" si="9"/>
        <v>0</v>
      </c>
      <c r="G120" s="10">
        <v>0</v>
      </c>
      <c r="H120" s="9">
        <f t="shared" si="10"/>
        <v>0</v>
      </c>
      <c r="I120" s="7">
        <f t="shared" si="11"/>
        <v>26</v>
      </c>
      <c r="J120" s="9">
        <f t="shared" si="12"/>
        <v>96.296296296296291</v>
      </c>
      <c r="K120" s="10">
        <v>26</v>
      </c>
      <c r="L120" s="9">
        <f t="shared" si="13"/>
        <v>96.296296296296291</v>
      </c>
      <c r="M120" s="10">
        <v>0</v>
      </c>
      <c r="N120" s="9">
        <f t="shared" si="14"/>
        <v>0</v>
      </c>
      <c r="O120">
        <v>1</v>
      </c>
      <c r="P120" s="9">
        <f t="shared" si="15"/>
        <v>3.7037037037037033</v>
      </c>
    </row>
    <row r="121" spans="1:16" x14ac:dyDescent="0.2">
      <c r="A121" s="10" t="s">
        <v>65</v>
      </c>
      <c r="B121" s="11" t="s">
        <v>105</v>
      </c>
      <c r="C121" s="10">
        <v>27</v>
      </c>
      <c r="D121">
        <v>9</v>
      </c>
      <c r="E121" s="7">
        <f t="shared" si="8"/>
        <v>0</v>
      </c>
      <c r="F121" s="8">
        <f t="shared" si="9"/>
        <v>0</v>
      </c>
      <c r="G121" s="10">
        <v>0</v>
      </c>
      <c r="H121" s="9">
        <f t="shared" si="10"/>
        <v>0</v>
      </c>
      <c r="I121" s="7">
        <f t="shared" si="11"/>
        <v>0</v>
      </c>
      <c r="J121" s="9">
        <f t="shared" si="12"/>
        <v>0</v>
      </c>
      <c r="K121" s="10">
        <v>0</v>
      </c>
      <c r="L121" s="9">
        <f t="shared" si="13"/>
        <v>0</v>
      </c>
      <c r="M121" s="10">
        <v>0</v>
      </c>
      <c r="N121" s="9">
        <f t="shared" si="14"/>
        <v>0</v>
      </c>
      <c r="O121">
        <v>27</v>
      </c>
      <c r="P121" s="9">
        <f t="shared" si="15"/>
        <v>100</v>
      </c>
    </row>
    <row r="122" spans="1:16" x14ac:dyDescent="0.2">
      <c r="A122" s="10" t="s">
        <v>2</v>
      </c>
      <c r="B122" s="11" t="s">
        <v>79</v>
      </c>
      <c r="C122" s="10">
        <v>25</v>
      </c>
      <c r="D122">
        <v>6</v>
      </c>
      <c r="E122" s="7">
        <f t="shared" si="8"/>
        <v>16</v>
      </c>
      <c r="F122" s="8">
        <f t="shared" si="9"/>
        <v>64</v>
      </c>
      <c r="G122" s="10">
        <v>16</v>
      </c>
      <c r="H122" s="9">
        <f t="shared" si="10"/>
        <v>64</v>
      </c>
      <c r="I122" s="7">
        <f t="shared" si="11"/>
        <v>0</v>
      </c>
      <c r="J122" s="9">
        <f t="shared" si="12"/>
        <v>0</v>
      </c>
      <c r="K122" s="10">
        <v>0</v>
      </c>
      <c r="L122" s="9">
        <f t="shared" si="13"/>
        <v>0</v>
      </c>
      <c r="M122" s="10">
        <v>0</v>
      </c>
      <c r="N122" s="9">
        <f t="shared" si="14"/>
        <v>0</v>
      </c>
      <c r="O122">
        <v>9</v>
      </c>
      <c r="P122" s="9">
        <f t="shared" si="15"/>
        <v>36</v>
      </c>
    </row>
    <row r="123" spans="1:16" x14ac:dyDescent="0.2">
      <c r="A123" s="10" t="s">
        <v>145</v>
      </c>
      <c r="B123" s="11" t="s">
        <v>102</v>
      </c>
      <c r="C123" s="10">
        <v>21</v>
      </c>
      <c r="D123">
        <v>2</v>
      </c>
      <c r="E123" s="7">
        <f t="shared" si="8"/>
        <v>0</v>
      </c>
      <c r="F123" s="8">
        <f t="shared" si="9"/>
        <v>0</v>
      </c>
      <c r="G123" s="10">
        <v>0</v>
      </c>
      <c r="H123" s="9">
        <f t="shared" si="10"/>
        <v>0</v>
      </c>
      <c r="I123" s="7">
        <f t="shared" si="11"/>
        <v>0</v>
      </c>
      <c r="J123" s="9">
        <f t="shared" si="12"/>
        <v>0</v>
      </c>
      <c r="K123" s="10">
        <v>0</v>
      </c>
      <c r="L123" s="9">
        <f t="shared" si="13"/>
        <v>0</v>
      </c>
      <c r="M123" s="10">
        <v>0</v>
      </c>
      <c r="N123" s="9">
        <f t="shared" si="14"/>
        <v>0</v>
      </c>
      <c r="O123">
        <v>21</v>
      </c>
      <c r="P123" s="9">
        <f t="shared" si="15"/>
        <v>100</v>
      </c>
    </row>
    <row r="124" spans="1:16" x14ac:dyDescent="0.2">
      <c r="A124" s="10" t="s">
        <v>39</v>
      </c>
      <c r="B124" s="11" t="s">
        <v>116</v>
      </c>
      <c r="C124" s="10">
        <v>20</v>
      </c>
      <c r="D124">
        <v>3</v>
      </c>
      <c r="E124" s="7">
        <f t="shared" si="8"/>
        <v>0</v>
      </c>
      <c r="F124" s="8">
        <f t="shared" si="9"/>
        <v>0</v>
      </c>
      <c r="G124" s="10">
        <v>0</v>
      </c>
      <c r="H124" s="9">
        <f t="shared" si="10"/>
        <v>0</v>
      </c>
      <c r="I124" s="7">
        <f t="shared" si="11"/>
        <v>0</v>
      </c>
      <c r="J124" s="9">
        <f t="shared" si="12"/>
        <v>0</v>
      </c>
      <c r="K124" s="10">
        <v>0</v>
      </c>
      <c r="L124" s="9">
        <f t="shared" si="13"/>
        <v>0</v>
      </c>
      <c r="M124" s="10">
        <v>0</v>
      </c>
      <c r="N124" s="9">
        <f t="shared" si="14"/>
        <v>0</v>
      </c>
      <c r="O124">
        <v>20</v>
      </c>
      <c r="P124" s="9">
        <f t="shared" si="15"/>
        <v>100</v>
      </c>
    </row>
    <row r="125" spans="1:16" x14ac:dyDescent="0.2">
      <c r="A125" s="10" t="s">
        <v>82</v>
      </c>
      <c r="B125" s="11" t="s">
        <v>82</v>
      </c>
      <c r="C125" s="10">
        <v>19</v>
      </c>
      <c r="D125">
        <v>4</v>
      </c>
      <c r="E125" s="7">
        <f t="shared" si="8"/>
        <v>2</v>
      </c>
      <c r="F125" s="8">
        <f t="shared" si="9"/>
        <v>10.526315789473683</v>
      </c>
      <c r="G125" s="10">
        <v>0</v>
      </c>
      <c r="H125" s="9">
        <f t="shared" si="10"/>
        <v>0</v>
      </c>
      <c r="I125" s="7">
        <f t="shared" si="11"/>
        <v>19</v>
      </c>
      <c r="J125" s="9">
        <f t="shared" si="12"/>
        <v>100</v>
      </c>
      <c r="K125" s="10">
        <v>17</v>
      </c>
      <c r="L125" s="9">
        <f t="shared" si="13"/>
        <v>89.473684210526315</v>
      </c>
      <c r="M125" s="10">
        <v>2</v>
      </c>
      <c r="N125" s="9">
        <f t="shared" si="14"/>
        <v>10.526315789473683</v>
      </c>
      <c r="O125">
        <v>0</v>
      </c>
      <c r="P125" s="9">
        <f t="shared" si="15"/>
        <v>0</v>
      </c>
    </row>
    <row r="126" spans="1:16" x14ac:dyDescent="0.2">
      <c r="A126" s="10" t="s">
        <v>146</v>
      </c>
      <c r="B126" s="11" t="s">
        <v>114</v>
      </c>
      <c r="C126" s="10">
        <v>18</v>
      </c>
      <c r="D126">
        <v>4</v>
      </c>
      <c r="E126" s="7">
        <f t="shared" si="8"/>
        <v>0</v>
      </c>
      <c r="F126" s="8">
        <f t="shared" si="9"/>
        <v>0</v>
      </c>
      <c r="G126" s="10">
        <v>0</v>
      </c>
      <c r="H126" s="9">
        <f t="shared" si="10"/>
        <v>0</v>
      </c>
      <c r="I126" s="7">
        <f t="shared" si="11"/>
        <v>0</v>
      </c>
      <c r="J126" s="9">
        <f t="shared" si="12"/>
        <v>0</v>
      </c>
      <c r="K126" s="10">
        <v>0</v>
      </c>
      <c r="L126" s="9">
        <f t="shared" si="13"/>
        <v>0</v>
      </c>
      <c r="M126" s="10">
        <v>0</v>
      </c>
      <c r="N126" s="9">
        <f t="shared" si="14"/>
        <v>0</v>
      </c>
      <c r="O126">
        <v>18</v>
      </c>
      <c r="P126" s="9">
        <f t="shared" si="15"/>
        <v>100</v>
      </c>
    </row>
    <row r="127" spans="1:16" x14ac:dyDescent="0.2">
      <c r="A127" s="10" t="s">
        <v>46</v>
      </c>
      <c r="B127" s="11" t="s">
        <v>86</v>
      </c>
      <c r="C127" s="10">
        <v>15</v>
      </c>
      <c r="D127">
        <v>3</v>
      </c>
      <c r="E127" s="7">
        <f t="shared" si="8"/>
        <v>0</v>
      </c>
      <c r="F127" s="8">
        <f t="shared" si="9"/>
        <v>0</v>
      </c>
      <c r="G127" s="10">
        <v>0</v>
      </c>
      <c r="H127" s="9">
        <f t="shared" si="10"/>
        <v>0</v>
      </c>
      <c r="I127" s="7">
        <f t="shared" si="11"/>
        <v>0</v>
      </c>
      <c r="J127" s="9">
        <f t="shared" si="12"/>
        <v>0</v>
      </c>
      <c r="K127" s="10">
        <v>0</v>
      </c>
      <c r="L127" s="9">
        <f t="shared" si="13"/>
        <v>0</v>
      </c>
      <c r="M127" s="10">
        <v>0</v>
      </c>
      <c r="N127" s="9">
        <f t="shared" si="14"/>
        <v>0</v>
      </c>
      <c r="O127">
        <v>15</v>
      </c>
      <c r="P127" s="9">
        <f t="shared" si="15"/>
        <v>100</v>
      </c>
    </row>
    <row r="128" spans="1:16" x14ac:dyDescent="0.2">
      <c r="A128" s="10" t="s">
        <v>58</v>
      </c>
      <c r="B128" s="11" t="s">
        <v>81</v>
      </c>
      <c r="C128" s="10">
        <v>14</v>
      </c>
      <c r="D128">
        <v>4</v>
      </c>
      <c r="E128" s="7">
        <f t="shared" si="8"/>
        <v>0</v>
      </c>
      <c r="F128" s="8">
        <f t="shared" si="9"/>
        <v>0</v>
      </c>
      <c r="G128" s="10">
        <v>0</v>
      </c>
      <c r="H128" s="9">
        <f t="shared" si="10"/>
        <v>0</v>
      </c>
      <c r="I128" s="7">
        <f t="shared" si="11"/>
        <v>12</v>
      </c>
      <c r="J128" s="9">
        <f t="shared" si="12"/>
        <v>85.714285714285708</v>
      </c>
      <c r="K128" s="10">
        <v>12</v>
      </c>
      <c r="L128" s="9">
        <f t="shared" si="13"/>
        <v>85.714285714285708</v>
      </c>
      <c r="M128" s="10">
        <v>0</v>
      </c>
      <c r="N128" s="9">
        <f t="shared" si="14"/>
        <v>0</v>
      </c>
      <c r="O128">
        <v>2</v>
      </c>
      <c r="P128" s="9">
        <f t="shared" si="15"/>
        <v>14.285714285714285</v>
      </c>
    </row>
    <row r="129" spans="1:16" x14ac:dyDescent="0.2">
      <c r="A129" s="10" t="s">
        <v>49</v>
      </c>
      <c r="B129" s="11" t="s">
        <v>85</v>
      </c>
      <c r="C129" s="10">
        <v>14</v>
      </c>
      <c r="D129">
        <v>2</v>
      </c>
      <c r="E129" s="7">
        <f t="shared" si="8"/>
        <v>0</v>
      </c>
      <c r="F129" s="8">
        <f t="shared" si="9"/>
        <v>0</v>
      </c>
      <c r="G129" s="10">
        <v>0</v>
      </c>
      <c r="H129" s="9">
        <f t="shared" si="10"/>
        <v>0</v>
      </c>
      <c r="I129" s="7">
        <f t="shared" si="11"/>
        <v>0</v>
      </c>
      <c r="J129" s="9">
        <f t="shared" si="12"/>
        <v>0</v>
      </c>
      <c r="K129" s="10">
        <v>0</v>
      </c>
      <c r="L129" s="9">
        <f t="shared" si="13"/>
        <v>0</v>
      </c>
      <c r="M129" s="10">
        <v>0</v>
      </c>
      <c r="N129" s="9">
        <f t="shared" si="14"/>
        <v>0</v>
      </c>
      <c r="O129">
        <v>14</v>
      </c>
      <c r="P129" s="9">
        <f t="shared" si="15"/>
        <v>100</v>
      </c>
    </row>
    <row r="130" spans="1:16" x14ac:dyDescent="0.2">
      <c r="A130" s="10" t="s">
        <v>149</v>
      </c>
      <c r="B130" s="11" t="s">
        <v>129</v>
      </c>
      <c r="C130" s="10">
        <v>13</v>
      </c>
      <c r="D130">
        <v>2</v>
      </c>
      <c r="E130" s="7">
        <f t="shared" si="8"/>
        <v>0</v>
      </c>
      <c r="F130" s="8">
        <f t="shared" si="9"/>
        <v>0</v>
      </c>
      <c r="G130" s="10">
        <v>0</v>
      </c>
      <c r="H130" s="9">
        <f t="shared" si="10"/>
        <v>0</v>
      </c>
      <c r="I130" s="7">
        <f t="shared" si="11"/>
        <v>0</v>
      </c>
      <c r="J130" s="9">
        <f t="shared" si="12"/>
        <v>0</v>
      </c>
      <c r="K130" s="10">
        <v>0</v>
      </c>
      <c r="L130" s="9">
        <f t="shared" si="13"/>
        <v>0</v>
      </c>
      <c r="M130" s="10">
        <v>0</v>
      </c>
      <c r="N130" s="9">
        <f t="shared" si="14"/>
        <v>0</v>
      </c>
      <c r="O130">
        <v>13</v>
      </c>
      <c r="P130" s="9">
        <f t="shared" si="15"/>
        <v>100</v>
      </c>
    </row>
    <row r="131" spans="1:16" x14ac:dyDescent="0.2">
      <c r="A131" s="10" t="s">
        <v>149</v>
      </c>
      <c r="B131" s="11" t="s">
        <v>130</v>
      </c>
      <c r="C131" s="10">
        <v>13</v>
      </c>
      <c r="D131">
        <v>2</v>
      </c>
      <c r="E131" s="7">
        <f t="shared" si="8"/>
        <v>0</v>
      </c>
      <c r="F131" s="8">
        <f t="shared" si="9"/>
        <v>0</v>
      </c>
      <c r="G131" s="10">
        <v>0</v>
      </c>
      <c r="H131" s="9">
        <f t="shared" si="10"/>
        <v>0</v>
      </c>
      <c r="I131" s="7">
        <f t="shared" si="11"/>
        <v>0</v>
      </c>
      <c r="J131" s="9">
        <f t="shared" si="12"/>
        <v>0</v>
      </c>
      <c r="K131" s="10">
        <v>0</v>
      </c>
      <c r="L131" s="9">
        <f t="shared" si="13"/>
        <v>0</v>
      </c>
      <c r="M131" s="10">
        <v>0</v>
      </c>
      <c r="N131" s="9">
        <f t="shared" si="14"/>
        <v>0</v>
      </c>
      <c r="O131">
        <v>13</v>
      </c>
      <c r="P131" s="9">
        <f t="shared" si="15"/>
        <v>100</v>
      </c>
    </row>
    <row r="132" spans="1:16" x14ac:dyDescent="0.2">
      <c r="A132" s="10" t="s">
        <v>115</v>
      </c>
      <c r="B132" s="11" t="s">
        <v>115</v>
      </c>
      <c r="C132" s="10">
        <v>11</v>
      </c>
      <c r="D132">
        <v>3</v>
      </c>
      <c r="E132" s="7">
        <f t="shared" ref="E132:E141" si="16">G132+M132</f>
        <v>0</v>
      </c>
      <c r="F132" s="8">
        <f t="shared" ref="F132:F141" si="17">(E132/C132)*100</f>
        <v>0</v>
      </c>
      <c r="G132" s="10">
        <v>0</v>
      </c>
      <c r="H132" s="9">
        <f t="shared" ref="H132:H141" si="18">(G132/C132)*100</f>
        <v>0</v>
      </c>
      <c r="I132" s="7">
        <f t="shared" ref="I132:I141" si="19">K132+M132</f>
        <v>0</v>
      </c>
      <c r="J132" s="9">
        <f t="shared" ref="J132:J141" si="20">(I132/C132)*100</f>
        <v>0</v>
      </c>
      <c r="K132" s="10">
        <v>0</v>
      </c>
      <c r="L132" s="9">
        <f t="shared" ref="L132:L141" si="21">(K132/C132)*100</f>
        <v>0</v>
      </c>
      <c r="M132" s="10">
        <v>0</v>
      </c>
      <c r="N132" s="9">
        <f t="shared" ref="N132:N141" si="22">(M132/C132)*100</f>
        <v>0</v>
      </c>
      <c r="O132">
        <v>11</v>
      </c>
      <c r="P132" s="9">
        <f t="shared" ref="P132:P141" si="23">(O132/C132)*100</f>
        <v>100</v>
      </c>
    </row>
    <row r="133" spans="1:16" x14ac:dyDescent="0.2">
      <c r="A133" s="10" t="s">
        <v>117</v>
      </c>
      <c r="B133" s="11" t="s">
        <v>117</v>
      </c>
      <c r="C133" s="10">
        <v>10</v>
      </c>
      <c r="D133">
        <v>1</v>
      </c>
      <c r="E133" s="7">
        <f t="shared" si="16"/>
        <v>2</v>
      </c>
      <c r="F133" s="8">
        <f t="shared" si="17"/>
        <v>20</v>
      </c>
      <c r="G133" s="10">
        <v>2</v>
      </c>
      <c r="H133" s="9">
        <f t="shared" si="18"/>
        <v>20</v>
      </c>
      <c r="I133" s="7">
        <f t="shared" si="19"/>
        <v>0</v>
      </c>
      <c r="J133" s="9">
        <f t="shared" si="20"/>
        <v>0</v>
      </c>
      <c r="K133" s="10">
        <v>0</v>
      </c>
      <c r="L133" s="9">
        <f t="shared" si="21"/>
        <v>0</v>
      </c>
      <c r="M133" s="10">
        <v>0</v>
      </c>
      <c r="N133" s="9">
        <f t="shared" si="22"/>
        <v>0</v>
      </c>
      <c r="O133">
        <v>8</v>
      </c>
      <c r="P133" s="9">
        <f t="shared" si="23"/>
        <v>80</v>
      </c>
    </row>
    <row r="134" spans="1:16" x14ac:dyDescent="0.2">
      <c r="A134" s="10" t="s">
        <v>145</v>
      </c>
      <c r="B134" s="11" t="s">
        <v>83</v>
      </c>
      <c r="C134" s="10">
        <v>9</v>
      </c>
      <c r="D134">
        <v>2</v>
      </c>
      <c r="E134" s="7">
        <f t="shared" si="16"/>
        <v>4</v>
      </c>
      <c r="F134" s="8">
        <f t="shared" si="17"/>
        <v>44.444444444444443</v>
      </c>
      <c r="G134" s="10">
        <v>4</v>
      </c>
      <c r="H134" s="9">
        <f t="shared" si="18"/>
        <v>44.444444444444443</v>
      </c>
      <c r="I134" s="7">
        <f t="shared" si="19"/>
        <v>0</v>
      </c>
      <c r="J134" s="9">
        <f t="shared" si="20"/>
        <v>0</v>
      </c>
      <c r="K134" s="10">
        <v>0</v>
      </c>
      <c r="L134" s="9">
        <f t="shared" si="21"/>
        <v>0</v>
      </c>
      <c r="M134" s="10">
        <v>0</v>
      </c>
      <c r="N134" s="9">
        <f t="shared" si="22"/>
        <v>0</v>
      </c>
      <c r="O134">
        <v>5</v>
      </c>
      <c r="P134" s="9">
        <f t="shared" si="23"/>
        <v>55.555555555555557</v>
      </c>
    </row>
    <row r="135" spans="1:16" x14ac:dyDescent="0.2">
      <c r="A135" s="10" t="s">
        <v>111</v>
      </c>
      <c r="B135" s="11" t="s">
        <v>111</v>
      </c>
      <c r="C135" s="10">
        <v>9</v>
      </c>
      <c r="D135">
        <v>1</v>
      </c>
      <c r="E135" s="7">
        <f t="shared" si="16"/>
        <v>2</v>
      </c>
      <c r="F135" s="8">
        <f t="shared" si="17"/>
        <v>22.222222222222221</v>
      </c>
      <c r="G135" s="10">
        <v>2</v>
      </c>
      <c r="H135" s="9">
        <f t="shared" si="18"/>
        <v>22.222222222222221</v>
      </c>
      <c r="I135" s="7">
        <f t="shared" si="19"/>
        <v>0</v>
      </c>
      <c r="J135" s="9">
        <f t="shared" si="20"/>
        <v>0</v>
      </c>
      <c r="K135" s="10">
        <v>0</v>
      </c>
      <c r="L135" s="9">
        <f t="shared" si="21"/>
        <v>0</v>
      </c>
      <c r="M135" s="10">
        <v>0</v>
      </c>
      <c r="N135" s="9">
        <f t="shared" si="22"/>
        <v>0</v>
      </c>
      <c r="O135">
        <v>7</v>
      </c>
      <c r="P135" s="9">
        <f t="shared" si="23"/>
        <v>77.777777777777786</v>
      </c>
    </row>
    <row r="136" spans="1:16" x14ac:dyDescent="0.2">
      <c r="A136" s="10" t="s">
        <v>145</v>
      </c>
      <c r="B136" s="11" t="s">
        <v>106</v>
      </c>
      <c r="C136" s="10">
        <v>8</v>
      </c>
      <c r="D136">
        <v>1</v>
      </c>
      <c r="E136" s="7">
        <f t="shared" si="16"/>
        <v>0</v>
      </c>
      <c r="F136" s="8">
        <f t="shared" si="17"/>
        <v>0</v>
      </c>
      <c r="G136" s="10">
        <v>0</v>
      </c>
      <c r="H136" s="9">
        <f t="shared" si="18"/>
        <v>0</v>
      </c>
      <c r="I136" s="7">
        <f t="shared" si="19"/>
        <v>0</v>
      </c>
      <c r="J136" s="9">
        <f t="shared" si="20"/>
        <v>0</v>
      </c>
      <c r="K136" s="10">
        <v>0</v>
      </c>
      <c r="L136" s="9">
        <f t="shared" si="21"/>
        <v>0</v>
      </c>
      <c r="M136" s="10">
        <v>0</v>
      </c>
      <c r="N136" s="9">
        <f t="shared" si="22"/>
        <v>0</v>
      </c>
      <c r="O136">
        <v>8</v>
      </c>
      <c r="P136" s="9">
        <f t="shared" si="23"/>
        <v>100</v>
      </c>
    </row>
    <row r="137" spans="1:16" x14ac:dyDescent="0.2">
      <c r="A137" s="10" t="s">
        <v>65</v>
      </c>
      <c r="B137" s="11" t="s">
        <v>109</v>
      </c>
      <c r="C137" s="10">
        <v>6</v>
      </c>
      <c r="D137">
        <v>2</v>
      </c>
      <c r="E137" s="7">
        <f t="shared" si="16"/>
        <v>0</v>
      </c>
      <c r="F137" s="8">
        <f t="shared" si="17"/>
        <v>0</v>
      </c>
      <c r="G137" s="10">
        <v>0</v>
      </c>
      <c r="H137" s="9">
        <f t="shared" si="18"/>
        <v>0</v>
      </c>
      <c r="I137" s="7">
        <f t="shared" si="19"/>
        <v>0</v>
      </c>
      <c r="J137" s="9">
        <f t="shared" si="20"/>
        <v>0</v>
      </c>
      <c r="K137" s="10">
        <v>0</v>
      </c>
      <c r="L137" s="9">
        <f t="shared" si="21"/>
        <v>0</v>
      </c>
      <c r="M137" s="10">
        <v>0</v>
      </c>
      <c r="N137" s="9">
        <f t="shared" si="22"/>
        <v>0</v>
      </c>
      <c r="O137">
        <v>6</v>
      </c>
      <c r="P137" s="9">
        <f t="shared" si="23"/>
        <v>100</v>
      </c>
    </row>
    <row r="138" spans="1:16" x14ac:dyDescent="0.2">
      <c r="A138" s="10" t="s">
        <v>107</v>
      </c>
      <c r="B138" s="11" t="s">
        <v>107</v>
      </c>
      <c r="C138" s="10">
        <v>4</v>
      </c>
      <c r="D138">
        <v>1</v>
      </c>
      <c r="E138" s="7">
        <f t="shared" si="16"/>
        <v>1</v>
      </c>
      <c r="F138" s="8">
        <f t="shared" si="17"/>
        <v>25</v>
      </c>
      <c r="G138" s="10">
        <v>1</v>
      </c>
      <c r="H138" s="9">
        <f t="shared" si="18"/>
        <v>25</v>
      </c>
      <c r="I138" s="7">
        <f t="shared" si="19"/>
        <v>0</v>
      </c>
      <c r="J138" s="9">
        <f t="shared" si="20"/>
        <v>0</v>
      </c>
      <c r="K138" s="10">
        <v>0</v>
      </c>
      <c r="L138" s="9">
        <f t="shared" si="21"/>
        <v>0</v>
      </c>
      <c r="M138" s="10">
        <v>0</v>
      </c>
      <c r="N138" s="9">
        <f t="shared" si="22"/>
        <v>0</v>
      </c>
      <c r="O138">
        <v>3</v>
      </c>
      <c r="P138" s="9">
        <f t="shared" si="23"/>
        <v>75</v>
      </c>
    </row>
    <row r="139" spans="1:16" x14ac:dyDescent="0.2">
      <c r="A139" s="10" t="s">
        <v>101</v>
      </c>
      <c r="B139" s="11" t="s">
        <v>101</v>
      </c>
      <c r="C139" s="10">
        <v>1</v>
      </c>
      <c r="D139">
        <v>0</v>
      </c>
      <c r="E139" s="7">
        <f t="shared" si="16"/>
        <v>0</v>
      </c>
      <c r="F139" s="8">
        <f t="shared" si="17"/>
        <v>0</v>
      </c>
      <c r="G139" s="10">
        <v>0</v>
      </c>
      <c r="H139" s="9">
        <f t="shared" si="18"/>
        <v>0</v>
      </c>
      <c r="I139" s="7">
        <f t="shared" si="19"/>
        <v>0</v>
      </c>
      <c r="J139" s="9">
        <f t="shared" si="20"/>
        <v>0</v>
      </c>
      <c r="K139" s="10">
        <v>0</v>
      </c>
      <c r="L139" s="9">
        <f t="shared" si="21"/>
        <v>0</v>
      </c>
      <c r="M139" s="10">
        <v>0</v>
      </c>
      <c r="N139" s="9">
        <f t="shared" si="22"/>
        <v>0</v>
      </c>
      <c r="O139">
        <v>1</v>
      </c>
      <c r="P139" s="9">
        <f t="shared" si="23"/>
        <v>100</v>
      </c>
    </row>
    <row r="140" spans="1:16" x14ac:dyDescent="0.2">
      <c r="A140" s="10" t="s">
        <v>145</v>
      </c>
      <c r="B140" s="11" t="s">
        <v>92</v>
      </c>
      <c r="C140" s="10">
        <v>0</v>
      </c>
      <c r="D140">
        <v>0</v>
      </c>
      <c r="E140" s="7">
        <f t="shared" si="16"/>
        <v>0</v>
      </c>
      <c r="F140" s="8" t="e">
        <f t="shared" si="17"/>
        <v>#DIV/0!</v>
      </c>
      <c r="G140" s="10">
        <v>0</v>
      </c>
      <c r="H140" s="9" t="e">
        <f t="shared" si="18"/>
        <v>#DIV/0!</v>
      </c>
      <c r="I140" s="7">
        <f t="shared" si="19"/>
        <v>0</v>
      </c>
      <c r="J140" s="9" t="e">
        <f t="shared" si="20"/>
        <v>#DIV/0!</v>
      </c>
      <c r="K140" s="10">
        <v>0</v>
      </c>
      <c r="L140" s="9" t="e">
        <f t="shared" si="21"/>
        <v>#DIV/0!</v>
      </c>
      <c r="M140" s="10">
        <v>0</v>
      </c>
      <c r="N140" s="9" t="e">
        <f t="shared" si="22"/>
        <v>#DIV/0!</v>
      </c>
      <c r="O140">
        <v>0</v>
      </c>
      <c r="P140" s="9" t="e">
        <f t="shared" si="23"/>
        <v>#DIV/0!</v>
      </c>
    </row>
    <row r="141" spans="1:16" ht="16" thickBot="1" x14ac:dyDescent="0.25">
      <c r="A141" s="12" t="s">
        <v>12</v>
      </c>
      <c r="B141" s="13" t="s">
        <v>100</v>
      </c>
      <c r="C141" s="12">
        <v>0</v>
      </c>
      <c r="D141" s="17">
        <v>0</v>
      </c>
      <c r="E141" s="21">
        <f t="shared" si="16"/>
        <v>0</v>
      </c>
      <c r="F141" s="22" t="e">
        <f t="shared" si="17"/>
        <v>#DIV/0!</v>
      </c>
      <c r="G141" s="12">
        <v>0</v>
      </c>
      <c r="H141" s="18" t="e">
        <f t="shared" si="18"/>
        <v>#DIV/0!</v>
      </c>
      <c r="I141" s="21">
        <f t="shared" si="19"/>
        <v>0</v>
      </c>
      <c r="J141" s="18" t="e">
        <f t="shared" si="20"/>
        <v>#DIV/0!</v>
      </c>
      <c r="K141" s="12">
        <v>0</v>
      </c>
      <c r="L141" s="18" t="e">
        <f t="shared" si="21"/>
        <v>#DIV/0!</v>
      </c>
      <c r="M141" s="12">
        <v>0</v>
      </c>
      <c r="N141" s="18" t="e">
        <f t="shared" si="22"/>
        <v>#DIV/0!</v>
      </c>
      <c r="O141" s="17">
        <v>0</v>
      </c>
      <c r="P141" s="18" t="e">
        <f t="shared" si="23"/>
        <v>#DIV/0!</v>
      </c>
    </row>
  </sheetData>
  <autoFilter ref="B2:P141" xr:uid="{D6C126B8-356F-4190-89E2-80C33207B213}">
    <sortState xmlns:xlrd2="http://schemas.microsoft.com/office/spreadsheetml/2017/richdata2" ref="B4:P141">
      <sortCondition descending="1" ref="G2:G141"/>
    </sortState>
  </autoFilter>
  <mergeCells count="9">
    <mergeCell ref="A1:A2"/>
    <mergeCell ref="I1:J1"/>
    <mergeCell ref="O1:P1"/>
    <mergeCell ref="C1:D1"/>
    <mergeCell ref="B1:B2"/>
    <mergeCell ref="E1:F1"/>
    <mergeCell ref="G1:H1"/>
    <mergeCell ref="K1:L1"/>
    <mergeCell ref="M1:N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selection_summary_by_eez_effect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Darling, Emily</cp:lastModifiedBy>
  <dcterms:created xsi:type="dcterms:W3CDTF">2025-10-14T17:09:48Z</dcterms:created>
  <dcterms:modified xsi:type="dcterms:W3CDTF">2025-10-28T04:08:59Z</dcterms:modified>
</cp:coreProperties>
</file>