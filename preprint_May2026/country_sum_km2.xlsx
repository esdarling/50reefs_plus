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darling/Documents/GitHub/MERMAID-analysis/50 reefs plus/"/>
    </mc:Choice>
  </mc:AlternateContent>
  <xr:revisionPtr revIDLastSave="0" documentId="13_ncr:1_{5834E091-68BF-1146-9EBF-48AE70ED30EA}" xr6:coauthVersionLast="47" xr6:coauthVersionMax="47" xr10:uidLastSave="{00000000-0000-0000-0000-000000000000}"/>
  <bookViews>
    <workbookView xWindow="680" yWindow="740" windowWidth="28040" windowHeight="17260" xr2:uid="{9798358F-10E6-0B46-B66A-652D3BFE0E92}"/>
  </bookViews>
  <sheets>
    <sheet name="country_sum_km2" sheetId="1" r:id="rId1"/>
  </sheets>
  <definedNames>
    <definedName name="_xlnm._FilterDatabase" localSheetId="0" hidden="1">country_sum_km2!$A$1:$K$84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D77" i="1"/>
  <c r="D79" i="1"/>
  <c r="D70" i="1"/>
  <c r="D72" i="1"/>
  <c r="D71" i="1"/>
  <c r="D81" i="1"/>
  <c r="D69" i="1"/>
  <c r="D78" i="1"/>
  <c r="D74" i="1"/>
  <c r="D66" i="1"/>
  <c r="D84" i="1"/>
  <c r="D80" i="1"/>
  <c r="D82" i="1"/>
  <c r="D83" i="1"/>
  <c r="D62" i="1"/>
  <c r="D67" i="1"/>
  <c r="D73" i="1"/>
  <c r="D46" i="1"/>
  <c r="D53" i="1"/>
  <c r="D76" i="1"/>
  <c r="D38" i="1"/>
  <c r="D75" i="1"/>
  <c r="D50" i="1"/>
  <c r="D68" i="1"/>
  <c r="D63" i="1"/>
  <c r="D65" i="1"/>
  <c r="D61" i="1"/>
  <c r="D60" i="1"/>
  <c r="D58" i="1"/>
  <c r="D57" i="1"/>
  <c r="D54" i="1"/>
  <c r="D33" i="1"/>
  <c r="D64" i="1"/>
  <c r="D55" i="1"/>
  <c r="D52" i="1"/>
  <c r="D59" i="1"/>
  <c r="D56" i="1"/>
  <c r="D48" i="1"/>
  <c r="D45" i="1"/>
  <c r="D51" i="1"/>
  <c r="D49" i="1"/>
  <c r="D44" i="1"/>
  <c r="D14" i="1"/>
  <c r="D26" i="1"/>
  <c r="D43" i="1"/>
  <c r="D40" i="1"/>
  <c r="D34" i="1"/>
  <c r="D35" i="1"/>
  <c r="D36" i="1"/>
  <c r="D39" i="1"/>
  <c r="D31" i="1"/>
  <c r="D32" i="1"/>
  <c r="D37" i="1"/>
  <c r="D28" i="1"/>
  <c r="D30" i="1"/>
  <c r="D22" i="1"/>
  <c r="D24" i="1"/>
  <c r="D27" i="1"/>
  <c r="D41" i="1"/>
  <c r="D42" i="1"/>
  <c r="D20" i="1"/>
  <c r="D29" i="1"/>
  <c r="D23" i="1"/>
  <c r="D13" i="1"/>
  <c r="D16" i="1"/>
  <c r="D19" i="1"/>
  <c r="D15" i="1"/>
  <c r="D25" i="1"/>
  <c r="D21" i="1"/>
  <c r="D18" i="1"/>
  <c r="D17" i="1"/>
  <c r="D10" i="1"/>
  <c r="D11" i="1"/>
  <c r="D12" i="1"/>
  <c r="D9" i="1"/>
  <c r="D8" i="1"/>
  <c r="D7" i="1"/>
  <c r="D6" i="1"/>
  <c r="D3" i="1"/>
  <c r="D4" i="1"/>
  <c r="D5" i="1"/>
  <c r="D2" i="1"/>
  <c r="F47" i="1"/>
  <c r="F77" i="1"/>
  <c r="F79" i="1"/>
  <c r="F70" i="1"/>
  <c r="F72" i="1"/>
  <c r="F71" i="1"/>
  <c r="F81" i="1"/>
  <c r="F69" i="1"/>
  <c r="F78" i="1"/>
  <c r="F74" i="1"/>
  <c r="F66" i="1"/>
  <c r="F80" i="1"/>
  <c r="F67" i="1"/>
  <c r="F84" i="1"/>
  <c r="F82" i="1"/>
  <c r="F83" i="1"/>
  <c r="F54" i="1"/>
  <c r="F62" i="1"/>
  <c r="F63" i="1"/>
  <c r="F73" i="1"/>
  <c r="F50" i="1"/>
  <c r="F64" i="1"/>
  <c r="F46" i="1"/>
  <c r="F53" i="1"/>
  <c r="F68" i="1"/>
  <c r="F76" i="1"/>
  <c r="F55" i="1"/>
  <c r="F38" i="1"/>
  <c r="F75" i="1"/>
  <c r="F45" i="1"/>
  <c r="F51" i="1"/>
  <c r="F14" i="1"/>
  <c r="F30" i="1"/>
  <c r="F65" i="1"/>
  <c r="F21" i="1"/>
  <c r="F61" i="1"/>
  <c r="F27" i="1"/>
  <c r="F36" i="1"/>
  <c r="F60" i="1"/>
  <c r="F58" i="1"/>
  <c r="F57" i="1"/>
  <c r="F33" i="1"/>
  <c r="F23" i="1"/>
  <c r="F52" i="1"/>
  <c r="F59" i="1"/>
  <c r="F35" i="1"/>
  <c r="F49" i="1"/>
  <c r="F34" i="1"/>
  <c r="F40" i="1"/>
  <c r="F48" i="1"/>
  <c r="F56" i="1"/>
  <c r="F26" i="1"/>
  <c r="F44" i="1"/>
  <c r="F43" i="1"/>
  <c r="F39" i="1"/>
  <c r="F22" i="1"/>
  <c r="F31" i="1"/>
  <c r="F32" i="1"/>
  <c r="F19" i="1"/>
  <c r="F37" i="1"/>
  <c r="F28" i="1"/>
  <c r="F24" i="1"/>
  <c r="F15" i="1"/>
  <c r="F41" i="1"/>
  <c r="F18" i="1"/>
  <c r="F42" i="1"/>
  <c r="F16" i="1"/>
  <c r="F20" i="1"/>
  <c r="F29" i="1"/>
  <c r="F13" i="1"/>
  <c r="F17" i="1"/>
  <c r="F25" i="1"/>
  <c r="F11" i="1"/>
  <c r="F10" i="1"/>
  <c r="F8" i="1"/>
  <c r="F12" i="1"/>
  <c r="F9" i="1"/>
  <c r="F7" i="1"/>
  <c r="F3" i="1"/>
  <c r="F6" i="1"/>
  <c r="F5" i="1"/>
  <c r="F4" i="1"/>
  <c r="F2" i="1"/>
</calcChain>
</file>

<file path=xl/sharedStrings.xml><?xml version="1.0" encoding="utf-8"?>
<sst xmlns="http://schemas.openxmlformats.org/spreadsheetml/2006/main" count="94" uniqueCount="94">
  <si>
    <t>Antigua and Barbuda</t>
  </si>
  <si>
    <t>Australia</t>
  </si>
  <si>
    <t>Bahamas</t>
  </si>
  <si>
    <t>Bahrain</t>
  </si>
  <si>
    <t>Bangladesh</t>
  </si>
  <si>
    <t>Barbados</t>
  </si>
  <si>
    <t>Belize</t>
  </si>
  <si>
    <t>Brazil</t>
  </si>
  <si>
    <t>Brunei</t>
  </si>
  <si>
    <t>Cambodia</t>
  </si>
  <si>
    <t>China</t>
  </si>
  <si>
    <t>Colombia</t>
  </si>
  <si>
    <t>Comores</t>
  </si>
  <si>
    <t>Costa Rica</t>
  </si>
  <si>
    <t>Cuba</t>
  </si>
  <si>
    <t>Djibouti</t>
  </si>
  <si>
    <t>Dominica</t>
  </si>
  <si>
    <t>Dominican Republic</t>
  </si>
  <si>
    <t>East Timor</t>
  </si>
  <si>
    <t>Ecuador</t>
  </si>
  <si>
    <t>Egypt</t>
  </si>
  <si>
    <t>Eritrea</t>
  </si>
  <si>
    <t>Federal Republic of Somalia</t>
  </si>
  <si>
    <t>Fiji</t>
  </si>
  <si>
    <t>France</t>
  </si>
  <si>
    <t>Grenada</t>
  </si>
  <si>
    <t>Haiti</t>
  </si>
  <si>
    <t>Honduras</t>
  </si>
  <si>
    <t>India</t>
  </si>
  <si>
    <t>Indonesia</t>
  </si>
  <si>
    <t>Iran</t>
  </si>
  <si>
    <t>Israel</t>
  </si>
  <si>
    <t>Jamaica</t>
  </si>
  <si>
    <t>Japan</t>
  </si>
  <si>
    <t>Jordan</t>
  </si>
  <si>
    <t>Kenya</t>
  </si>
  <si>
    <t>Kiribati</t>
  </si>
  <si>
    <t>Kuwait</t>
  </si>
  <si>
    <t>Madagascar</t>
  </si>
  <si>
    <t>Malaysia</t>
  </si>
  <si>
    <t>Maldives</t>
  </si>
  <si>
    <t>Marshall Islands</t>
  </si>
  <si>
    <t>Mexico</t>
  </si>
  <si>
    <t>Micronesia</t>
  </si>
  <si>
    <t>Mozambique</t>
  </si>
  <si>
    <t>Myanmar</t>
  </si>
  <si>
    <t>NA</t>
  </si>
  <si>
    <t>Nauru</t>
  </si>
  <si>
    <t>Netherlands</t>
  </si>
  <si>
    <t>New Zealand</t>
  </si>
  <si>
    <t>Nicaragua</t>
  </si>
  <si>
    <t>Oman</t>
  </si>
  <si>
    <t>Pakistan</t>
  </si>
  <si>
    <t>Palau</t>
  </si>
  <si>
    <t>Panama</t>
  </si>
  <si>
    <t>Papua New Guinea</t>
  </si>
  <si>
    <t>Philippines</t>
  </si>
  <si>
    <t>Qatar</t>
  </si>
  <si>
    <t>Republic of Mauritius</t>
  </si>
  <si>
    <t>Saint Kitts and Nevis</t>
  </si>
  <si>
    <t>Saint Lucia</t>
  </si>
  <si>
    <t>Saint Vincent and the Grenadines</t>
  </si>
  <si>
    <t>Samoa</t>
  </si>
  <si>
    <t>Saudi Arabia</t>
  </si>
  <si>
    <t>Seychelles</t>
  </si>
  <si>
    <t>Singapore</t>
  </si>
  <si>
    <t>Solomon Islands</t>
  </si>
  <si>
    <t>South Africa</t>
  </si>
  <si>
    <t>Sri Lanka</t>
  </si>
  <si>
    <t>Sudan</t>
  </si>
  <si>
    <t>Taiwan</t>
  </si>
  <si>
    <t>Tanzania</t>
  </si>
  <si>
    <t>Thailand</t>
  </si>
  <si>
    <t>Tonga</t>
  </si>
  <si>
    <t>Trinidad and Tobago</t>
  </si>
  <si>
    <t>Tuvalu</t>
  </si>
  <si>
    <t>United Arab Emirates</t>
  </si>
  <si>
    <t>United Kingdom</t>
  </si>
  <si>
    <t>United States</t>
  </si>
  <si>
    <t>Vanuatu</t>
  </si>
  <si>
    <t>Venezuela</t>
  </si>
  <si>
    <t>Vietnam</t>
  </si>
  <si>
    <t>Yemen</t>
  </si>
  <si>
    <t>eez country</t>
  </si>
  <si>
    <t>total reef extent km2</t>
  </si>
  <si>
    <t>x50 reefs selections total reef extent km2</t>
  </si>
  <si>
    <t>x50 reefs selections new reef extent km2</t>
  </si>
  <si>
    <t>original beyer total reef extent km2</t>
  </si>
  <si>
    <t>beyer et al only not selected by 50 reefs reef extent km2</t>
  </si>
  <si>
    <t>x50 reefs and beyer overlap reef extent km2</t>
  </si>
  <si>
    <t>remaining no selections reef extent km2</t>
  </si>
  <si>
    <t>perc of country selected for new 50reefs</t>
  </si>
  <si>
    <t>effective coral cover km2</t>
  </si>
  <si>
    <t>perc effective coral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</si>
</sst>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164" fontId="16" fillId="33" borderId="0" xfId="42" applyNumberFormat="1" applyFont="1" applyFill="1" applyAlignment="1">
      <alignment wrapText="1"/>
    </xf>
    <xf numFmtId="164" fontId="0" fillId="33" borderId="0" xfId="42" applyNumberFormat="1" applyFont="1" applyFill="1" applyAlignment="1">
      <alignment wrapText="1"/>
    </xf>
    <xf numFmtId="164" fontId="0" fillId="33" borderId="0" xfId="42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F0BD-9BE9-344D-9406-24805B33491D}">
  <dimension ref="A1:K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baseColWidth="10" defaultColWidth="13.5" defaultRowHeight="16" x14ac:dyDescent="0.2"/>
  <cols>
    <col min="4" max="4" width="13.5" style="6"/>
    <col min="6" max="6" width="17.1640625" style="6" customWidth="1"/>
  </cols>
  <sheetData>
    <row r="1" spans="1:11" s="1" customFormat="1" ht="79" customHeight="1" x14ac:dyDescent="0.2">
      <c r="A1" s="2" t="s">
        <v>83</v>
      </c>
      <c r="B1" s="2" t="s">
        <v>84</v>
      </c>
      <c r="C1" s="2" t="s">
        <v>92</v>
      </c>
      <c r="D1" s="4" t="s">
        <v>93</v>
      </c>
      <c r="E1" s="2" t="s">
        <v>85</v>
      </c>
      <c r="F1" s="4" t="s">
        <v>91</v>
      </c>
      <c r="G1" s="2" t="s">
        <v>86</v>
      </c>
      <c r="H1" s="2" t="s">
        <v>87</v>
      </c>
      <c r="I1" s="2" t="s">
        <v>88</v>
      </c>
      <c r="J1" s="2" t="s">
        <v>89</v>
      </c>
      <c r="K1" s="2" t="s">
        <v>90</v>
      </c>
    </row>
    <row r="2" spans="1:11" ht="17" x14ac:dyDescent="0.2">
      <c r="A2" s="3" t="s">
        <v>2</v>
      </c>
      <c r="B2" s="3">
        <v>106542</v>
      </c>
      <c r="C2" s="3">
        <v>16683</v>
      </c>
      <c r="D2" s="5">
        <f>C2/B2</f>
        <v>0.15658613504533422</v>
      </c>
      <c r="E2" s="3">
        <v>32105</v>
      </c>
      <c r="F2" s="5">
        <f>E2/B2</f>
        <v>0.30133656210696252</v>
      </c>
      <c r="G2" s="3">
        <v>31548</v>
      </c>
      <c r="H2" s="3">
        <v>13135</v>
      </c>
      <c r="I2" s="3">
        <v>12578</v>
      </c>
      <c r="J2" s="3">
        <v>557</v>
      </c>
      <c r="K2" s="3">
        <v>61859</v>
      </c>
    </row>
    <row r="3" spans="1:11" ht="17" x14ac:dyDescent="0.2">
      <c r="A3" s="3" t="s">
        <v>29</v>
      </c>
      <c r="B3" s="3">
        <v>69470</v>
      </c>
      <c r="C3" s="3">
        <v>18965</v>
      </c>
      <c r="D3" s="5">
        <f>C3/B3</f>
        <v>0.27299553764214768</v>
      </c>
      <c r="E3" s="3">
        <v>16150</v>
      </c>
      <c r="F3" s="5">
        <f>E3/B3</f>
        <v>0.23247444940261983</v>
      </c>
      <c r="G3" s="3">
        <v>7378</v>
      </c>
      <c r="H3" s="3">
        <v>40153</v>
      </c>
      <c r="I3" s="3">
        <v>31381</v>
      </c>
      <c r="J3" s="3">
        <v>8772</v>
      </c>
      <c r="K3" s="3">
        <v>21939</v>
      </c>
    </row>
    <row r="4" spans="1:11" ht="17" x14ac:dyDescent="0.2">
      <c r="A4" s="3" t="s">
        <v>1</v>
      </c>
      <c r="B4" s="3">
        <v>61671</v>
      </c>
      <c r="C4" s="3">
        <v>10402</v>
      </c>
      <c r="D4" s="5">
        <f>C4/B4</f>
        <v>0.16866922864879766</v>
      </c>
      <c r="E4" s="3">
        <v>18471</v>
      </c>
      <c r="F4" s="5">
        <f>E4/B4</f>
        <v>0.29950868317361484</v>
      </c>
      <c r="G4" s="3">
        <v>15575</v>
      </c>
      <c r="H4" s="3">
        <v>10198</v>
      </c>
      <c r="I4" s="3">
        <v>7302</v>
      </c>
      <c r="J4" s="3">
        <v>2896</v>
      </c>
      <c r="K4" s="3">
        <v>35898</v>
      </c>
    </row>
    <row r="5" spans="1:11" ht="17" x14ac:dyDescent="0.2">
      <c r="A5" s="3" t="s">
        <v>14</v>
      </c>
      <c r="B5" s="3">
        <v>54298</v>
      </c>
      <c r="C5" s="3">
        <v>9751</v>
      </c>
      <c r="D5" s="5">
        <f>C5/B5</f>
        <v>0.17958304173266051</v>
      </c>
      <c r="E5" s="3">
        <v>18914</v>
      </c>
      <c r="F5" s="5">
        <f>E5/B5</f>
        <v>0.34833695532063796</v>
      </c>
      <c r="G5" s="3">
        <v>15024</v>
      </c>
      <c r="H5" s="3">
        <v>16744</v>
      </c>
      <c r="I5" s="3">
        <v>12854</v>
      </c>
      <c r="J5" s="3">
        <v>3890</v>
      </c>
      <c r="K5" s="3">
        <v>22530</v>
      </c>
    </row>
    <row r="6" spans="1:11" ht="17" x14ac:dyDescent="0.2">
      <c r="A6" s="3" t="s">
        <v>56</v>
      </c>
      <c r="B6" s="3">
        <v>33732</v>
      </c>
      <c r="C6" s="3">
        <v>7614</v>
      </c>
      <c r="D6" s="5">
        <f>C6/B6</f>
        <v>0.22572038420490928</v>
      </c>
      <c r="E6" s="3">
        <v>15196</v>
      </c>
      <c r="F6" s="5">
        <f>E6/B6</f>
        <v>0.45049211431281871</v>
      </c>
      <c r="G6" s="3">
        <v>11276</v>
      </c>
      <c r="H6" s="3">
        <v>10099</v>
      </c>
      <c r="I6" s="3">
        <v>6179</v>
      </c>
      <c r="J6" s="3">
        <v>3920</v>
      </c>
      <c r="K6" s="3">
        <v>12357</v>
      </c>
    </row>
    <row r="7" spans="1:11" ht="34" x14ac:dyDescent="0.2">
      <c r="A7" s="3" t="s">
        <v>55</v>
      </c>
      <c r="B7" s="3">
        <v>21611</v>
      </c>
      <c r="C7" s="3">
        <v>4800</v>
      </c>
      <c r="D7" s="5">
        <f>C7/B7</f>
        <v>0.22210911110082829</v>
      </c>
      <c r="E7" s="3">
        <v>5590</v>
      </c>
      <c r="F7" s="5">
        <f>E7/B7</f>
        <v>0.25866456896950629</v>
      </c>
      <c r="G7" s="3">
        <v>5070</v>
      </c>
      <c r="H7" s="3">
        <v>1571</v>
      </c>
      <c r="I7" s="3">
        <v>1051</v>
      </c>
      <c r="J7" s="3">
        <v>520</v>
      </c>
      <c r="K7" s="3">
        <v>14970</v>
      </c>
    </row>
    <row r="8" spans="1:11" ht="17" x14ac:dyDescent="0.2">
      <c r="A8" s="3" t="s">
        <v>24</v>
      </c>
      <c r="B8" s="3">
        <v>20461</v>
      </c>
      <c r="C8" s="3">
        <v>3229</v>
      </c>
      <c r="D8" s="5">
        <f>C8/B8</f>
        <v>0.15781242363520845</v>
      </c>
      <c r="E8" s="3">
        <v>5040</v>
      </c>
      <c r="F8" s="5">
        <f>E8/B8</f>
        <v>0.24632227163872733</v>
      </c>
      <c r="G8" s="3">
        <v>3026</v>
      </c>
      <c r="H8" s="3">
        <v>6051</v>
      </c>
      <c r="I8" s="3">
        <v>4037</v>
      </c>
      <c r="J8" s="3">
        <v>2014</v>
      </c>
      <c r="K8" s="3">
        <v>11384</v>
      </c>
    </row>
    <row r="9" spans="1:11" ht="17" x14ac:dyDescent="0.2">
      <c r="A9" s="3" t="s">
        <v>63</v>
      </c>
      <c r="B9" s="3">
        <v>14286</v>
      </c>
      <c r="C9" s="3">
        <v>2612</v>
      </c>
      <c r="D9" s="5">
        <f>C9/B9</f>
        <v>0.18283634327313453</v>
      </c>
      <c r="E9" s="3">
        <v>4485</v>
      </c>
      <c r="F9" s="5">
        <f>E9/B9</f>
        <v>0.3139437211255775</v>
      </c>
      <c r="G9" s="3">
        <v>3359</v>
      </c>
      <c r="H9" s="3">
        <v>3992</v>
      </c>
      <c r="I9" s="3">
        <v>2866</v>
      </c>
      <c r="J9" s="3">
        <v>1126</v>
      </c>
      <c r="K9" s="3">
        <v>6935</v>
      </c>
    </row>
    <row r="10" spans="1:11" ht="17" x14ac:dyDescent="0.2">
      <c r="A10" s="3" t="s">
        <v>78</v>
      </c>
      <c r="B10" s="3">
        <v>11097</v>
      </c>
      <c r="C10" s="3">
        <v>2081</v>
      </c>
      <c r="D10" s="5">
        <f>C10/B10</f>
        <v>0.1875281607641705</v>
      </c>
      <c r="E10" s="3">
        <v>3006</v>
      </c>
      <c r="F10" s="5">
        <f>E10/B10</f>
        <v>0.27088402270884021</v>
      </c>
      <c r="G10" s="3">
        <v>3006</v>
      </c>
      <c r="H10" s="3">
        <v>0</v>
      </c>
      <c r="I10" s="3">
        <v>0</v>
      </c>
      <c r="J10" s="3">
        <v>0</v>
      </c>
      <c r="K10" s="3">
        <v>8091</v>
      </c>
    </row>
    <row r="11" spans="1:11" ht="17" x14ac:dyDescent="0.2">
      <c r="A11" s="3" t="s">
        <v>23</v>
      </c>
      <c r="B11" s="3">
        <v>10667</v>
      </c>
      <c r="C11" s="3">
        <v>1900</v>
      </c>
      <c r="D11" s="5">
        <f>C11/B11</f>
        <v>0.17811943376769476</v>
      </c>
      <c r="E11" s="3">
        <v>3432</v>
      </c>
      <c r="F11" s="5">
        <f>E11/B11</f>
        <v>0.32173994562669916</v>
      </c>
      <c r="G11" s="3">
        <v>2080</v>
      </c>
      <c r="H11" s="3">
        <v>4014</v>
      </c>
      <c r="I11" s="3">
        <v>2662</v>
      </c>
      <c r="J11" s="3">
        <v>1352</v>
      </c>
      <c r="K11" s="3">
        <v>4573</v>
      </c>
    </row>
    <row r="12" spans="1:11" ht="34" x14ac:dyDescent="0.2">
      <c r="A12" s="3" t="s">
        <v>66</v>
      </c>
      <c r="B12" s="3">
        <v>9610</v>
      </c>
      <c r="C12" s="3">
        <v>2423</v>
      </c>
      <c r="D12" s="5">
        <f>C12/B12</f>
        <v>0.25213319458896982</v>
      </c>
      <c r="E12" s="3">
        <v>3949</v>
      </c>
      <c r="F12" s="5">
        <f>E12/B12</f>
        <v>0.4109261186264308</v>
      </c>
      <c r="G12" s="3">
        <v>3315</v>
      </c>
      <c r="H12" s="3">
        <v>2225</v>
      </c>
      <c r="I12" s="3">
        <v>1591</v>
      </c>
      <c r="J12" s="3">
        <v>634</v>
      </c>
      <c r="K12" s="3">
        <v>4070</v>
      </c>
    </row>
    <row r="13" spans="1:11" ht="34" x14ac:dyDescent="0.2">
      <c r="A13" s="3" t="s">
        <v>77</v>
      </c>
      <c r="B13" s="3">
        <v>6660</v>
      </c>
      <c r="C13" s="3">
        <v>1038</v>
      </c>
      <c r="D13" s="5">
        <f>C13/B13</f>
        <v>0.15585585585585585</v>
      </c>
      <c r="E13" s="3">
        <v>1595</v>
      </c>
      <c r="F13" s="5">
        <f>E13/B13</f>
        <v>0.23948948948948948</v>
      </c>
      <c r="G13" s="3">
        <v>1595</v>
      </c>
      <c r="H13" s="3">
        <v>0</v>
      </c>
      <c r="I13" s="3">
        <v>0</v>
      </c>
      <c r="J13" s="3">
        <v>0</v>
      </c>
      <c r="K13" s="3">
        <v>5065</v>
      </c>
    </row>
    <row r="14" spans="1:11" ht="17" x14ac:dyDescent="0.2">
      <c r="A14" s="3" t="s">
        <v>40</v>
      </c>
      <c r="B14" s="3">
        <v>6622</v>
      </c>
      <c r="C14" s="3">
        <v>2029</v>
      </c>
      <c r="D14" s="5">
        <f>C14/B14</f>
        <v>0.30640289942615523</v>
      </c>
      <c r="E14" s="3">
        <v>517</v>
      </c>
      <c r="F14" s="5">
        <f>E14/B14</f>
        <v>7.8073089700996676E-2</v>
      </c>
      <c r="G14" s="3">
        <v>146</v>
      </c>
      <c r="H14" s="3">
        <v>3512</v>
      </c>
      <c r="I14" s="3">
        <v>3141</v>
      </c>
      <c r="J14" s="3">
        <v>371</v>
      </c>
      <c r="K14" s="3">
        <v>2964</v>
      </c>
    </row>
    <row r="15" spans="1:11" ht="17" x14ac:dyDescent="0.2">
      <c r="A15" s="3" t="s">
        <v>38</v>
      </c>
      <c r="B15" s="3">
        <v>6393</v>
      </c>
      <c r="C15" s="3">
        <v>1152</v>
      </c>
      <c r="D15" s="5">
        <f>C15/B15</f>
        <v>0.18019709056780855</v>
      </c>
      <c r="E15" s="3">
        <v>1709</v>
      </c>
      <c r="F15" s="5">
        <f>E15/B15</f>
        <v>0.26732363522602848</v>
      </c>
      <c r="G15" s="3">
        <v>1052</v>
      </c>
      <c r="H15" s="3">
        <v>1593</v>
      </c>
      <c r="I15" s="3">
        <v>936</v>
      </c>
      <c r="J15" s="3">
        <v>657</v>
      </c>
      <c r="K15" s="3">
        <v>3748</v>
      </c>
    </row>
    <row r="16" spans="1:11" ht="17" x14ac:dyDescent="0.2">
      <c r="A16" s="3" t="s">
        <v>39</v>
      </c>
      <c r="B16" s="3">
        <v>6239</v>
      </c>
      <c r="C16" s="3">
        <v>1572</v>
      </c>
      <c r="D16" s="5">
        <f>C16/B16</f>
        <v>0.25196345568200035</v>
      </c>
      <c r="E16" s="3">
        <v>1614</v>
      </c>
      <c r="F16" s="5">
        <f>E16/B16</f>
        <v>0.25869530373457283</v>
      </c>
      <c r="G16" s="3">
        <v>1428</v>
      </c>
      <c r="H16" s="3">
        <v>1335</v>
      </c>
      <c r="I16" s="3">
        <v>1149</v>
      </c>
      <c r="J16" s="3">
        <v>186</v>
      </c>
      <c r="K16" s="3">
        <v>3476</v>
      </c>
    </row>
    <row r="17" spans="1:11" ht="17" x14ac:dyDescent="0.2">
      <c r="A17" s="3" t="s">
        <v>21</v>
      </c>
      <c r="B17" s="3">
        <v>6133</v>
      </c>
      <c r="C17" s="3">
        <v>1181</v>
      </c>
      <c r="D17" s="5">
        <f>C17/B17</f>
        <v>0.19256481330507091</v>
      </c>
      <c r="E17" s="3">
        <v>2233</v>
      </c>
      <c r="F17" s="5">
        <f>E17/B17</f>
        <v>0.36409587477580302</v>
      </c>
      <c r="G17" s="3">
        <v>1602</v>
      </c>
      <c r="H17" s="3">
        <v>1923</v>
      </c>
      <c r="I17" s="3">
        <v>1292</v>
      </c>
      <c r="J17" s="3">
        <v>631</v>
      </c>
      <c r="K17" s="3">
        <v>2608</v>
      </c>
    </row>
    <row r="18" spans="1:11" ht="17" x14ac:dyDescent="0.2">
      <c r="A18" s="3" t="s">
        <v>28</v>
      </c>
      <c r="B18" s="3">
        <v>5733</v>
      </c>
      <c r="C18" s="3">
        <v>1406</v>
      </c>
      <c r="D18" s="5">
        <f>C18/B18</f>
        <v>0.24524681667538811</v>
      </c>
      <c r="E18" s="3">
        <v>2192</v>
      </c>
      <c r="F18" s="5">
        <f>E18/B18</f>
        <v>0.38234781091923947</v>
      </c>
      <c r="G18" s="3">
        <v>1244</v>
      </c>
      <c r="H18" s="3">
        <v>2060</v>
      </c>
      <c r="I18" s="3">
        <v>1112</v>
      </c>
      <c r="J18" s="3">
        <v>948</v>
      </c>
      <c r="K18" s="3">
        <v>2429</v>
      </c>
    </row>
    <row r="19" spans="1:11" ht="17" x14ac:dyDescent="0.2">
      <c r="A19" s="3" t="s">
        <v>44</v>
      </c>
      <c r="B19" s="3">
        <v>5229</v>
      </c>
      <c r="C19" s="3">
        <v>970</v>
      </c>
      <c r="D19" s="5">
        <f>C19/B19</f>
        <v>0.18550392044367947</v>
      </c>
      <c r="E19" s="3">
        <v>1643</v>
      </c>
      <c r="F19" s="5">
        <f>E19/B19</f>
        <v>0.31420921782367567</v>
      </c>
      <c r="G19" s="3">
        <v>887</v>
      </c>
      <c r="H19" s="3">
        <v>1477</v>
      </c>
      <c r="I19" s="3">
        <v>721</v>
      </c>
      <c r="J19" s="3">
        <v>756</v>
      </c>
      <c r="K19" s="3">
        <v>2865</v>
      </c>
    </row>
    <row r="20" spans="1:11" ht="17" x14ac:dyDescent="0.2">
      <c r="A20" s="3" t="s">
        <v>43</v>
      </c>
      <c r="B20" s="3">
        <v>5081</v>
      </c>
      <c r="C20" s="3">
        <v>1401</v>
      </c>
      <c r="D20" s="5">
        <f>C20/B20</f>
        <v>0.27573312340090533</v>
      </c>
      <c r="E20" s="3">
        <v>1448</v>
      </c>
      <c r="F20" s="5">
        <f>E20/B20</f>
        <v>0.28498327100964377</v>
      </c>
      <c r="G20" s="3">
        <v>1448</v>
      </c>
      <c r="H20" s="3">
        <v>0</v>
      </c>
      <c r="I20" s="3">
        <v>0</v>
      </c>
      <c r="J20" s="3">
        <v>0</v>
      </c>
      <c r="K20" s="3">
        <v>3633</v>
      </c>
    </row>
    <row r="21" spans="1:11" ht="17" x14ac:dyDescent="0.2">
      <c r="A21" s="3" t="s">
        <v>71</v>
      </c>
      <c r="B21" s="3">
        <v>4678</v>
      </c>
      <c r="C21" s="3">
        <v>963</v>
      </c>
      <c r="D21" s="5">
        <f>C21/B21</f>
        <v>0.20585720393330484</v>
      </c>
      <c r="E21" s="3">
        <v>2086</v>
      </c>
      <c r="F21" s="5">
        <f>E21/B21</f>
        <v>0.44591705857203934</v>
      </c>
      <c r="G21" s="3">
        <v>185</v>
      </c>
      <c r="H21" s="3">
        <v>4356</v>
      </c>
      <c r="I21" s="3">
        <v>2455</v>
      </c>
      <c r="J21" s="3">
        <v>1901</v>
      </c>
      <c r="K21" s="3">
        <v>137</v>
      </c>
    </row>
    <row r="22" spans="1:11" ht="34" x14ac:dyDescent="0.2">
      <c r="A22" s="3" t="s">
        <v>41</v>
      </c>
      <c r="B22" s="3">
        <v>4287</v>
      </c>
      <c r="C22" s="3">
        <v>1196</v>
      </c>
      <c r="D22" s="5">
        <f>C22/B22</f>
        <v>0.27898297177513415</v>
      </c>
      <c r="E22" s="3">
        <v>1003</v>
      </c>
      <c r="F22" s="5">
        <f>E22/B22</f>
        <v>0.23396314439001634</v>
      </c>
      <c r="G22" s="3">
        <v>737</v>
      </c>
      <c r="H22" s="3">
        <v>1123</v>
      </c>
      <c r="I22" s="3">
        <v>857</v>
      </c>
      <c r="J22" s="3">
        <v>266</v>
      </c>
      <c r="K22" s="3">
        <v>2427</v>
      </c>
    </row>
    <row r="23" spans="1:11" ht="17" x14ac:dyDescent="0.2">
      <c r="A23" s="3" t="s">
        <v>45</v>
      </c>
      <c r="B23" s="3">
        <v>4228</v>
      </c>
      <c r="C23" s="3">
        <v>975</v>
      </c>
      <c r="D23" s="5">
        <f>C23/B23</f>
        <v>0.23060548722800378</v>
      </c>
      <c r="E23" s="3">
        <v>1530</v>
      </c>
      <c r="F23" s="5">
        <f>E23/B23</f>
        <v>0.36187322611163669</v>
      </c>
      <c r="G23" s="3">
        <v>301</v>
      </c>
      <c r="H23" s="3">
        <v>3405</v>
      </c>
      <c r="I23" s="3">
        <v>2176</v>
      </c>
      <c r="J23" s="3">
        <v>1229</v>
      </c>
      <c r="K23" s="3">
        <v>522</v>
      </c>
    </row>
    <row r="24" spans="1:11" ht="17" x14ac:dyDescent="0.2">
      <c r="A24" s="3" t="s">
        <v>36</v>
      </c>
      <c r="B24" s="3">
        <v>3959</v>
      </c>
      <c r="C24" s="3">
        <v>1163</v>
      </c>
      <c r="D24" s="5">
        <f>C24/B24</f>
        <v>0.29376105077039655</v>
      </c>
      <c r="E24" s="3">
        <v>1028</v>
      </c>
      <c r="F24" s="5">
        <f>E24/B24</f>
        <v>0.2596615306895681</v>
      </c>
      <c r="G24" s="3">
        <v>1028</v>
      </c>
      <c r="H24" s="3">
        <v>0</v>
      </c>
      <c r="I24" s="3">
        <v>0</v>
      </c>
      <c r="J24" s="3">
        <v>0</v>
      </c>
      <c r="K24" s="3">
        <v>2931</v>
      </c>
    </row>
    <row r="25" spans="1:11" ht="34" x14ac:dyDescent="0.2">
      <c r="A25" s="3" t="s">
        <v>58</v>
      </c>
      <c r="B25" s="3">
        <v>3800</v>
      </c>
      <c r="C25" s="3">
        <v>785</v>
      </c>
      <c r="D25" s="5">
        <f>C25/B25</f>
        <v>0.20657894736842106</v>
      </c>
      <c r="E25" s="3">
        <v>1905</v>
      </c>
      <c r="F25" s="5">
        <f>E25/B25</f>
        <v>0.50131578947368416</v>
      </c>
      <c r="G25" s="3">
        <v>1905</v>
      </c>
      <c r="H25" s="3">
        <v>0</v>
      </c>
      <c r="I25" s="3">
        <v>0</v>
      </c>
      <c r="J25" s="3">
        <v>0</v>
      </c>
      <c r="K25" s="3">
        <v>1895</v>
      </c>
    </row>
    <row r="26" spans="1:11" ht="17" x14ac:dyDescent="0.2">
      <c r="A26" s="3" t="s">
        <v>20</v>
      </c>
      <c r="B26" s="3">
        <v>3730</v>
      </c>
      <c r="C26" s="3">
        <v>681</v>
      </c>
      <c r="D26" s="5">
        <f>C26/B26</f>
        <v>0.18257372654155496</v>
      </c>
      <c r="E26" s="3">
        <v>629</v>
      </c>
      <c r="F26" s="5">
        <f>E26/B26</f>
        <v>0.16863270777479894</v>
      </c>
      <c r="G26" s="3">
        <v>507</v>
      </c>
      <c r="H26" s="3">
        <v>1121</v>
      </c>
      <c r="I26" s="3">
        <v>999</v>
      </c>
      <c r="J26" s="3">
        <v>122</v>
      </c>
      <c r="K26" s="3">
        <v>2102</v>
      </c>
    </row>
    <row r="27" spans="1:11" ht="17" x14ac:dyDescent="0.2">
      <c r="A27" s="3" t="s">
        <v>69</v>
      </c>
      <c r="B27" s="3">
        <v>3566</v>
      </c>
      <c r="C27" s="3">
        <v>607</v>
      </c>
      <c r="D27" s="5">
        <f>C27/B27</f>
        <v>0.1702187324733595</v>
      </c>
      <c r="E27" s="3">
        <v>1098</v>
      </c>
      <c r="F27" s="5">
        <f>E27/B27</f>
        <v>0.30790802019068986</v>
      </c>
      <c r="G27" s="3">
        <v>201</v>
      </c>
      <c r="H27" s="3">
        <v>2932</v>
      </c>
      <c r="I27" s="3">
        <v>2035</v>
      </c>
      <c r="J27" s="3">
        <v>897</v>
      </c>
      <c r="K27" s="3">
        <v>433</v>
      </c>
    </row>
    <row r="28" spans="1:11" ht="17" x14ac:dyDescent="0.2">
      <c r="A28" s="3" t="s">
        <v>10</v>
      </c>
      <c r="B28" s="3">
        <v>3543</v>
      </c>
      <c r="C28" s="3">
        <v>686</v>
      </c>
      <c r="D28" s="5">
        <f>C28/B28</f>
        <v>0.19362122495060682</v>
      </c>
      <c r="E28" s="3">
        <v>914</v>
      </c>
      <c r="F28" s="5">
        <f>E28/B28</f>
        <v>0.25797346881174144</v>
      </c>
      <c r="G28" s="3">
        <v>914</v>
      </c>
      <c r="H28" s="3">
        <v>0</v>
      </c>
      <c r="I28" s="3">
        <v>0</v>
      </c>
      <c r="J28" s="3">
        <v>0</v>
      </c>
      <c r="K28" s="3">
        <v>2629</v>
      </c>
    </row>
    <row r="29" spans="1:11" ht="17" x14ac:dyDescent="0.2">
      <c r="A29" s="3" t="s">
        <v>6</v>
      </c>
      <c r="B29" s="3">
        <v>3293</v>
      </c>
      <c r="C29" s="3">
        <v>761</v>
      </c>
      <c r="D29" s="5">
        <f>C29/B29</f>
        <v>0.23109626480412998</v>
      </c>
      <c r="E29" s="3">
        <v>1497</v>
      </c>
      <c r="F29" s="5">
        <f>E29/B29</f>
        <v>0.45460066808381416</v>
      </c>
      <c r="G29" s="3">
        <v>1497</v>
      </c>
      <c r="H29" s="3">
        <v>0</v>
      </c>
      <c r="I29" s="3">
        <v>0</v>
      </c>
      <c r="J29" s="3">
        <v>0</v>
      </c>
      <c r="K29" s="3">
        <v>1796</v>
      </c>
    </row>
    <row r="30" spans="1:11" ht="34" x14ac:dyDescent="0.2">
      <c r="A30" s="3" t="s">
        <v>76</v>
      </c>
      <c r="B30" s="3">
        <v>3274</v>
      </c>
      <c r="C30" s="3">
        <v>560</v>
      </c>
      <c r="D30" s="5">
        <f>C30/B30</f>
        <v>0.17104459376908979</v>
      </c>
      <c r="E30" s="3">
        <v>932</v>
      </c>
      <c r="F30" s="5">
        <f>E30/B30</f>
        <v>0.28466707391569945</v>
      </c>
      <c r="G30" s="3">
        <v>146</v>
      </c>
      <c r="H30" s="3">
        <v>2699</v>
      </c>
      <c r="I30" s="3">
        <v>1913</v>
      </c>
      <c r="J30" s="3">
        <v>786</v>
      </c>
      <c r="K30" s="3">
        <v>429</v>
      </c>
    </row>
    <row r="31" spans="1:11" ht="17" x14ac:dyDescent="0.2">
      <c r="A31" s="3" t="s">
        <v>81</v>
      </c>
      <c r="B31" s="3">
        <v>2873</v>
      </c>
      <c r="C31" s="3">
        <v>602</v>
      </c>
      <c r="D31" s="5">
        <f>C31/B31</f>
        <v>0.20953706926557605</v>
      </c>
      <c r="E31" s="3">
        <v>825</v>
      </c>
      <c r="F31" s="5">
        <f>E31/B31</f>
        <v>0.28715628263139575</v>
      </c>
      <c r="G31" s="3">
        <v>809</v>
      </c>
      <c r="H31" s="3">
        <v>109</v>
      </c>
      <c r="I31" s="3">
        <v>93</v>
      </c>
      <c r="J31" s="3">
        <v>16</v>
      </c>
      <c r="K31" s="3">
        <v>1955</v>
      </c>
    </row>
    <row r="32" spans="1:11" ht="17" x14ac:dyDescent="0.2">
      <c r="A32" s="3" t="s">
        <v>33</v>
      </c>
      <c r="B32" s="3">
        <v>2772</v>
      </c>
      <c r="C32" s="3">
        <v>509</v>
      </c>
      <c r="D32" s="5">
        <f>C32/B32</f>
        <v>0.18362193362193363</v>
      </c>
      <c r="E32" s="3">
        <v>836</v>
      </c>
      <c r="F32" s="5">
        <f>E32/B32</f>
        <v>0.30158730158730157</v>
      </c>
      <c r="G32" s="3">
        <v>836</v>
      </c>
      <c r="H32" s="3">
        <v>0</v>
      </c>
      <c r="I32" s="3">
        <v>0</v>
      </c>
      <c r="J32" s="3">
        <v>0</v>
      </c>
      <c r="K32" s="3">
        <v>1936</v>
      </c>
    </row>
    <row r="33" spans="1:11" ht="17" x14ac:dyDescent="0.2">
      <c r="A33" s="3" t="s">
        <v>64</v>
      </c>
      <c r="B33" s="3">
        <v>2699</v>
      </c>
      <c r="C33" s="3">
        <v>448</v>
      </c>
      <c r="D33" s="5">
        <f>C33/B33</f>
        <v>0.16598740274175622</v>
      </c>
      <c r="E33" s="3">
        <v>261</v>
      </c>
      <c r="F33" s="5">
        <f>E33/B33</f>
        <v>9.6702482400889217E-2</v>
      </c>
      <c r="G33" s="3">
        <v>261</v>
      </c>
      <c r="H33" s="3">
        <v>0</v>
      </c>
      <c r="I33" s="3">
        <v>0</v>
      </c>
      <c r="J33" s="3">
        <v>0</v>
      </c>
      <c r="K33" s="3">
        <v>2438</v>
      </c>
    </row>
    <row r="34" spans="1:11" ht="17" x14ac:dyDescent="0.2">
      <c r="A34" s="3" t="s">
        <v>57</v>
      </c>
      <c r="B34" s="3">
        <v>2659</v>
      </c>
      <c r="C34" s="3">
        <v>442</v>
      </c>
      <c r="D34" s="5">
        <f>C34/B34</f>
        <v>0.16622790522752914</v>
      </c>
      <c r="E34" s="3">
        <v>684</v>
      </c>
      <c r="F34" s="5">
        <f>E34/B34</f>
        <v>0.25723956374576906</v>
      </c>
      <c r="G34" s="3">
        <v>381</v>
      </c>
      <c r="H34" s="3">
        <v>1135</v>
      </c>
      <c r="I34" s="3">
        <v>832</v>
      </c>
      <c r="J34" s="3">
        <v>303</v>
      </c>
      <c r="K34" s="3">
        <v>1143</v>
      </c>
    </row>
    <row r="35" spans="1:11" ht="17" x14ac:dyDescent="0.2">
      <c r="A35" s="3" t="s">
        <v>46</v>
      </c>
      <c r="B35" s="3">
        <v>2647</v>
      </c>
      <c r="C35" s="3">
        <v>481</v>
      </c>
      <c r="D35" s="5">
        <f>C35/B35</f>
        <v>0.18171514922553836</v>
      </c>
      <c r="E35" s="3">
        <v>764</v>
      </c>
      <c r="F35" s="5">
        <f>E35/B35</f>
        <v>0.28862863619191537</v>
      </c>
      <c r="G35" s="3">
        <v>350</v>
      </c>
      <c r="H35" s="3">
        <v>896</v>
      </c>
      <c r="I35" s="3">
        <v>482</v>
      </c>
      <c r="J35" s="3">
        <v>414</v>
      </c>
      <c r="K35" s="3">
        <v>1401</v>
      </c>
    </row>
    <row r="36" spans="1:11" ht="17" x14ac:dyDescent="0.2">
      <c r="A36" s="3" t="s">
        <v>82</v>
      </c>
      <c r="B36" s="3">
        <v>2635</v>
      </c>
      <c r="C36" s="3">
        <v>561</v>
      </c>
      <c r="D36" s="5">
        <f>C36/B36</f>
        <v>0.2129032258064516</v>
      </c>
      <c r="E36" s="3">
        <v>807</v>
      </c>
      <c r="F36" s="5">
        <f>E36/B36</f>
        <v>0.30626185958254271</v>
      </c>
      <c r="G36" s="3">
        <v>203</v>
      </c>
      <c r="H36" s="3">
        <v>2045</v>
      </c>
      <c r="I36" s="3">
        <v>1441</v>
      </c>
      <c r="J36" s="3">
        <v>604</v>
      </c>
      <c r="K36" s="3">
        <v>387</v>
      </c>
    </row>
    <row r="37" spans="1:11" ht="17" x14ac:dyDescent="0.2">
      <c r="A37" s="3" t="s">
        <v>11</v>
      </c>
      <c r="B37" s="3">
        <v>2586</v>
      </c>
      <c r="C37" s="3">
        <v>576</v>
      </c>
      <c r="D37" s="5">
        <f>C37/B37</f>
        <v>0.22273781902552203</v>
      </c>
      <c r="E37" s="3">
        <v>895</v>
      </c>
      <c r="F37" s="5">
        <f>E37/B37</f>
        <v>0.34609435421500384</v>
      </c>
      <c r="G37" s="3">
        <v>895</v>
      </c>
      <c r="H37" s="3">
        <v>0</v>
      </c>
      <c r="I37" s="3">
        <v>0</v>
      </c>
      <c r="J37" s="3">
        <v>0</v>
      </c>
      <c r="K37" s="3">
        <v>1691</v>
      </c>
    </row>
    <row r="38" spans="1:11" ht="17" x14ac:dyDescent="0.2">
      <c r="A38" s="3" t="s">
        <v>42</v>
      </c>
      <c r="B38" s="3">
        <v>2501</v>
      </c>
      <c r="C38" s="3">
        <v>365</v>
      </c>
      <c r="D38" s="5">
        <f>C38/B38</f>
        <v>0.14594162335065974</v>
      </c>
      <c r="E38" s="3">
        <v>29</v>
      </c>
      <c r="F38" s="5">
        <f>E38/B38</f>
        <v>1.1595361855257898E-2</v>
      </c>
      <c r="G38" s="3">
        <v>29</v>
      </c>
      <c r="H38" s="3">
        <v>0</v>
      </c>
      <c r="I38" s="3">
        <v>0</v>
      </c>
      <c r="J38" s="3">
        <v>0</v>
      </c>
      <c r="K38" s="3">
        <v>2472</v>
      </c>
    </row>
    <row r="39" spans="1:11" ht="17" x14ac:dyDescent="0.2">
      <c r="A39" s="3" t="s">
        <v>3</v>
      </c>
      <c r="B39" s="3">
        <v>2244</v>
      </c>
      <c r="C39" s="3">
        <v>442</v>
      </c>
      <c r="D39" s="5">
        <f>C39/B39</f>
        <v>0.19696969696969696</v>
      </c>
      <c r="E39" s="3">
        <v>811</v>
      </c>
      <c r="F39" s="5">
        <f>E39/B39</f>
        <v>0.36140819964349374</v>
      </c>
      <c r="G39" s="3">
        <v>717</v>
      </c>
      <c r="H39" s="3">
        <v>409</v>
      </c>
      <c r="I39" s="3">
        <v>315</v>
      </c>
      <c r="J39" s="3">
        <v>94</v>
      </c>
      <c r="K39" s="3">
        <v>1118</v>
      </c>
    </row>
    <row r="40" spans="1:11" ht="17" x14ac:dyDescent="0.2">
      <c r="A40" s="3" t="s">
        <v>68</v>
      </c>
      <c r="B40" s="3">
        <v>2199</v>
      </c>
      <c r="C40" s="3">
        <v>583</v>
      </c>
      <c r="D40" s="5">
        <f>C40/B40</f>
        <v>0.26512050932241926</v>
      </c>
      <c r="E40" s="3">
        <v>661</v>
      </c>
      <c r="F40" s="5">
        <f>E40/B40</f>
        <v>0.30059117780809458</v>
      </c>
      <c r="G40" s="3">
        <v>392</v>
      </c>
      <c r="H40" s="3">
        <v>880</v>
      </c>
      <c r="I40" s="3">
        <v>611</v>
      </c>
      <c r="J40" s="3">
        <v>269</v>
      </c>
      <c r="K40" s="3">
        <v>927</v>
      </c>
    </row>
    <row r="41" spans="1:11" ht="17" x14ac:dyDescent="0.2">
      <c r="A41" s="3" t="s">
        <v>54</v>
      </c>
      <c r="B41" s="3">
        <v>2091</v>
      </c>
      <c r="C41" s="3">
        <v>541</v>
      </c>
      <c r="D41" s="5">
        <f>C41/B41</f>
        <v>0.25872788139646102</v>
      </c>
      <c r="E41" s="3">
        <v>1101</v>
      </c>
      <c r="F41" s="5">
        <f>E41/B41</f>
        <v>0.52654232424677183</v>
      </c>
      <c r="G41" s="3">
        <v>1101</v>
      </c>
      <c r="H41" s="3">
        <v>0</v>
      </c>
      <c r="I41" s="3">
        <v>0</v>
      </c>
      <c r="J41" s="3">
        <v>0</v>
      </c>
      <c r="K41" s="3">
        <v>990</v>
      </c>
    </row>
    <row r="42" spans="1:11" ht="17" x14ac:dyDescent="0.2">
      <c r="A42" s="3" t="s">
        <v>79</v>
      </c>
      <c r="B42" s="3">
        <v>2007</v>
      </c>
      <c r="C42" s="3">
        <v>374</v>
      </c>
      <c r="D42" s="5">
        <f>C42/B42</f>
        <v>0.18634778276033881</v>
      </c>
      <c r="E42" s="3">
        <v>1403</v>
      </c>
      <c r="F42" s="5">
        <f>E42/B42</f>
        <v>0.69905331340308918</v>
      </c>
      <c r="G42" s="3">
        <v>1403</v>
      </c>
      <c r="H42" s="3">
        <v>0</v>
      </c>
      <c r="I42" s="3">
        <v>0</v>
      </c>
      <c r="J42" s="3">
        <v>0</v>
      </c>
      <c r="K42" s="3">
        <v>604</v>
      </c>
    </row>
    <row r="43" spans="1:11" ht="17" x14ac:dyDescent="0.2">
      <c r="A43" s="3" t="s">
        <v>53</v>
      </c>
      <c r="B43" s="3">
        <v>1880</v>
      </c>
      <c r="C43" s="3">
        <v>493</v>
      </c>
      <c r="D43" s="5">
        <f>C43/B43</f>
        <v>0.26223404255319149</v>
      </c>
      <c r="E43" s="3">
        <v>640</v>
      </c>
      <c r="F43" s="5">
        <f>E43/B43</f>
        <v>0.34042553191489361</v>
      </c>
      <c r="G43" s="3">
        <v>640</v>
      </c>
      <c r="H43" s="3">
        <v>0</v>
      </c>
      <c r="I43" s="3">
        <v>0</v>
      </c>
      <c r="J43" s="3">
        <v>0</v>
      </c>
      <c r="K43" s="3">
        <v>1240</v>
      </c>
    </row>
    <row r="44" spans="1:11" ht="17" x14ac:dyDescent="0.2">
      <c r="A44" s="3" t="s">
        <v>73</v>
      </c>
      <c r="B44" s="3">
        <v>1862</v>
      </c>
      <c r="C44" s="3">
        <v>323</v>
      </c>
      <c r="D44" s="5">
        <f>C44/B44</f>
        <v>0.17346938775510204</v>
      </c>
      <c r="E44" s="3">
        <v>516</v>
      </c>
      <c r="F44" s="5">
        <f>E44/B44</f>
        <v>0.27712137486573579</v>
      </c>
      <c r="G44" s="3">
        <v>516</v>
      </c>
      <c r="H44" s="3">
        <v>0</v>
      </c>
      <c r="I44" s="3">
        <v>0</v>
      </c>
      <c r="J44" s="3">
        <v>0</v>
      </c>
      <c r="K44" s="3">
        <v>1346</v>
      </c>
    </row>
    <row r="45" spans="1:11" ht="17" x14ac:dyDescent="0.2">
      <c r="A45" s="3" t="s">
        <v>72</v>
      </c>
      <c r="B45" s="3">
        <v>1751</v>
      </c>
      <c r="C45" s="3">
        <v>403</v>
      </c>
      <c r="D45" s="5">
        <f>C45/B45</f>
        <v>0.23015419760137065</v>
      </c>
      <c r="E45" s="3">
        <v>437</v>
      </c>
      <c r="F45" s="5">
        <f>E45/B45</f>
        <v>0.24957167332952598</v>
      </c>
      <c r="G45" s="3">
        <v>56</v>
      </c>
      <c r="H45" s="3">
        <v>1514</v>
      </c>
      <c r="I45" s="3">
        <v>1133</v>
      </c>
      <c r="J45" s="3">
        <v>381</v>
      </c>
      <c r="K45" s="3">
        <v>181</v>
      </c>
    </row>
    <row r="46" spans="1:11" ht="34" x14ac:dyDescent="0.2">
      <c r="A46" s="3" t="s">
        <v>17</v>
      </c>
      <c r="B46" s="3">
        <v>1568</v>
      </c>
      <c r="C46" s="3">
        <v>295</v>
      </c>
      <c r="D46" s="5">
        <f>C46/B46</f>
        <v>0.18813775510204081</v>
      </c>
      <c r="E46" s="3">
        <v>11</v>
      </c>
      <c r="F46" s="5">
        <f>E46/B46</f>
        <v>7.0153061224489796E-3</v>
      </c>
      <c r="G46" s="3">
        <v>11</v>
      </c>
      <c r="H46" s="3">
        <v>1146</v>
      </c>
      <c r="I46" s="3">
        <v>1146</v>
      </c>
      <c r="J46" s="3">
        <v>0</v>
      </c>
      <c r="K46" s="3">
        <v>411</v>
      </c>
    </row>
    <row r="47" spans="1:11" ht="17" x14ac:dyDescent="0.2">
      <c r="A47" s="3" t="s">
        <v>80</v>
      </c>
      <c r="B47" s="3">
        <v>1566</v>
      </c>
      <c r="C47" s="3">
        <v>369</v>
      </c>
      <c r="D47" s="5">
        <f>C47/B47</f>
        <v>0.23563218390804597</v>
      </c>
      <c r="E47" s="3">
        <v>0</v>
      </c>
      <c r="F47" s="5">
        <f>E47/B47</f>
        <v>0</v>
      </c>
      <c r="G47" s="3">
        <v>0</v>
      </c>
      <c r="H47" s="3">
        <v>0</v>
      </c>
      <c r="I47" s="3">
        <v>0</v>
      </c>
      <c r="J47" s="3">
        <v>0</v>
      </c>
      <c r="K47" s="3">
        <v>1566</v>
      </c>
    </row>
    <row r="48" spans="1:11" ht="17" x14ac:dyDescent="0.2">
      <c r="A48" s="3" t="s">
        <v>51</v>
      </c>
      <c r="B48" s="3">
        <v>1552</v>
      </c>
      <c r="C48" s="3">
        <v>429</v>
      </c>
      <c r="D48" s="5">
        <f>C48/B48</f>
        <v>0.27641752577319589</v>
      </c>
      <c r="E48" s="3">
        <v>420</v>
      </c>
      <c r="F48" s="5">
        <f>E48/B48</f>
        <v>0.27061855670103091</v>
      </c>
      <c r="G48" s="3">
        <v>415</v>
      </c>
      <c r="H48" s="3">
        <v>27</v>
      </c>
      <c r="I48" s="3">
        <v>22</v>
      </c>
      <c r="J48" s="3">
        <v>5</v>
      </c>
      <c r="K48" s="3">
        <v>1110</v>
      </c>
    </row>
    <row r="49" spans="1:11" ht="17" x14ac:dyDescent="0.2">
      <c r="A49" s="3" t="s">
        <v>30</v>
      </c>
      <c r="B49" s="3">
        <v>1526</v>
      </c>
      <c r="C49" s="3">
        <v>280</v>
      </c>
      <c r="D49" s="5">
        <f>C49/B49</f>
        <v>0.1834862385321101</v>
      </c>
      <c r="E49" s="3">
        <v>489</v>
      </c>
      <c r="F49" s="5">
        <f>E49/B49</f>
        <v>0.32044560943643513</v>
      </c>
      <c r="G49" s="3">
        <v>365</v>
      </c>
      <c r="H49" s="3">
        <v>366</v>
      </c>
      <c r="I49" s="3">
        <v>242</v>
      </c>
      <c r="J49" s="3">
        <v>124</v>
      </c>
      <c r="K49" s="3">
        <v>795</v>
      </c>
    </row>
    <row r="50" spans="1:11" ht="17" x14ac:dyDescent="0.2">
      <c r="A50" s="3" t="s">
        <v>26</v>
      </c>
      <c r="B50" s="3">
        <v>1506</v>
      </c>
      <c r="C50" s="3">
        <v>308</v>
      </c>
      <c r="D50" s="5">
        <f>C50/B50</f>
        <v>0.20451527224435592</v>
      </c>
      <c r="E50" s="3">
        <v>42</v>
      </c>
      <c r="F50" s="5">
        <f>E50/B50</f>
        <v>2.7888446215139442E-2</v>
      </c>
      <c r="G50" s="3">
        <v>6</v>
      </c>
      <c r="H50" s="3">
        <v>882</v>
      </c>
      <c r="I50" s="3">
        <v>846</v>
      </c>
      <c r="J50" s="3">
        <v>36</v>
      </c>
      <c r="K50" s="3">
        <v>618</v>
      </c>
    </row>
    <row r="51" spans="1:11" ht="17" x14ac:dyDescent="0.2">
      <c r="A51" s="3" t="s">
        <v>7</v>
      </c>
      <c r="B51" s="3">
        <v>1474</v>
      </c>
      <c r="C51" s="3">
        <v>300</v>
      </c>
      <c r="D51" s="5">
        <f>C51/B51</f>
        <v>0.20352781546811397</v>
      </c>
      <c r="E51" s="3">
        <v>442</v>
      </c>
      <c r="F51" s="5">
        <f>E51/B51</f>
        <v>0.29986431478968795</v>
      </c>
      <c r="G51" s="3">
        <v>87</v>
      </c>
      <c r="H51" s="3">
        <v>1263</v>
      </c>
      <c r="I51" s="3">
        <v>908</v>
      </c>
      <c r="J51" s="3">
        <v>355</v>
      </c>
      <c r="K51" s="3">
        <v>124</v>
      </c>
    </row>
    <row r="52" spans="1:11" ht="17" x14ac:dyDescent="0.2">
      <c r="A52" s="3" t="s">
        <v>27</v>
      </c>
      <c r="B52" s="3">
        <v>1165</v>
      </c>
      <c r="C52" s="3">
        <v>213</v>
      </c>
      <c r="D52" s="5">
        <f>C52/B52</f>
        <v>0.18283261802575107</v>
      </c>
      <c r="E52" s="3">
        <v>316</v>
      </c>
      <c r="F52" s="5">
        <f>E52/B52</f>
        <v>0.27124463519313302</v>
      </c>
      <c r="G52" s="3">
        <v>316</v>
      </c>
      <c r="H52" s="3">
        <v>0</v>
      </c>
      <c r="I52" s="3">
        <v>0</v>
      </c>
      <c r="J52" s="3">
        <v>0</v>
      </c>
      <c r="K52" s="3">
        <v>849</v>
      </c>
    </row>
    <row r="53" spans="1:11" ht="17" x14ac:dyDescent="0.2">
      <c r="A53" s="3" t="s">
        <v>32</v>
      </c>
      <c r="B53" s="3">
        <v>1092</v>
      </c>
      <c r="C53" s="3">
        <v>202</v>
      </c>
      <c r="D53" s="5">
        <f>C53/B53</f>
        <v>0.18498168498168499</v>
      </c>
      <c r="E53" s="3">
        <v>12</v>
      </c>
      <c r="F53" s="5">
        <f>E53/B53</f>
        <v>1.098901098901099E-2</v>
      </c>
      <c r="G53" s="3">
        <v>12</v>
      </c>
      <c r="H53" s="3">
        <v>0</v>
      </c>
      <c r="I53" s="3">
        <v>0</v>
      </c>
      <c r="J53" s="3">
        <v>0</v>
      </c>
      <c r="K53" s="3">
        <v>1080</v>
      </c>
    </row>
    <row r="54" spans="1:11" ht="17" x14ac:dyDescent="0.2">
      <c r="A54" s="3" t="s">
        <v>35</v>
      </c>
      <c r="B54" s="3">
        <v>1020</v>
      </c>
      <c r="C54" s="3">
        <v>233</v>
      </c>
      <c r="D54" s="5">
        <f>C54/B54</f>
        <v>0.2284313725490196</v>
      </c>
      <c r="E54" s="3">
        <v>232</v>
      </c>
      <c r="F54" s="5">
        <f>E54/B54</f>
        <v>0.22745098039215686</v>
      </c>
      <c r="G54" s="3">
        <v>3</v>
      </c>
      <c r="H54" s="3">
        <v>1000</v>
      </c>
      <c r="I54" s="3">
        <v>771</v>
      </c>
      <c r="J54" s="3">
        <v>229</v>
      </c>
      <c r="K54" s="3">
        <v>17</v>
      </c>
    </row>
    <row r="55" spans="1:11" ht="51" x14ac:dyDescent="0.2">
      <c r="A55" s="3" t="s">
        <v>22</v>
      </c>
      <c r="B55" s="3">
        <v>998</v>
      </c>
      <c r="C55" s="3">
        <v>220</v>
      </c>
      <c r="D55" s="5">
        <f>C55/B55</f>
        <v>0.22044088176352705</v>
      </c>
      <c r="E55" s="3">
        <v>299</v>
      </c>
      <c r="F55" s="5">
        <f>E55/B55</f>
        <v>0.29959919839679361</v>
      </c>
      <c r="G55" s="3">
        <v>25</v>
      </c>
      <c r="H55" s="3">
        <v>759</v>
      </c>
      <c r="I55" s="3">
        <v>485</v>
      </c>
      <c r="J55" s="3">
        <v>274</v>
      </c>
      <c r="K55" s="3">
        <v>214</v>
      </c>
    </row>
    <row r="56" spans="1:11" ht="17" x14ac:dyDescent="0.2">
      <c r="A56" s="3" t="s">
        <v>50</v>
      </c>
      <c r="B56" s="3">
        <v>963</v>
      </c>
      <c r="C56" s="3">
        <v>194</v>
      </c>
      <c r="D56" s="5">
        <f>C56/B56</f>
        <v>0.20145379023883697</v>
      </c>
      <c r="E56" s="3">
        <v>417</v>
      </c>
      <c r="F56" s="5">
        <f>E56/B56</f>
        <v>0.43302180685358255</v>
      </c>
      <c r="G56" s="3">
        <v>417</v>
      </c>
      <c r="H56" s="3">
        <v>0</v>
      </c>
      <c r="I56" s="3">
        <v>0</v>
      </c>
      <c r="J56" s="3">
        <v>0</v>
      </c>
      <c r="K56" s="3">
        <v>546</v>
      </c>
    </row>
    <row r="57" spans="1:11" ht="17" x14ac:dyDescent="0.2">
      <c r="A57" s="3" t="s">
        <v>49</v>
      </c>
      <c r="B57" s="3">
        <v>853</v>
      </c>
      <c r="C57" s="3">
        <v>202</v>
      </c>
      <c r="D57" s="5">
        <f>C57/B57</f>
        <v>0.23681125439624853</v>
      </c>
      <c r="E57" s="3">
        <v>227</v>
      </c>
      <c r="F57" s="5">
        <f>E57/B57</f>
        <v>0.26611957796014069</v>
      </c>
      <c r="G57" s="3">
        <v>227</v>
      </c>
      <c r="H57" s="3">
        <v>0</v>
      </c>
      <c r="I57" s="3">
        <v>0</v>
      </c>
      <c r="J57" s="3">
        <v>0</v>
      </c>
      <c r="K57" s="3">
        <v>626</v>
      </c>
    </row>
    <row r="58" spans="1:11" ht="17" x14ac:dyDescent="0.2">
      <c r="A58" s="3" t="s">
        <v>70</v>
      </c>
      <c r="B58" s="3">
        <v>795</v>
      </c>
      <c r="C58" s="3">
        <v>139</v>
      </c>
      <c r="D58" s="5">
        <f>C58/B58</f>
        <v>0.17484276729559747</v>
      </c>
      <c r="E58" s="3">
        <v>211</v>
      </c>
      <c r="F58" s="5">
        <f>E58/B58</f>
        <v>0.26540880503144654</v>
      </c>
      <c r="G58" s="3">
        <v>211</v>
      </c>
      <c r="H58" s="3">
        <v>0</v>
      </c>
      <c r="I58" s="3">
        <v>0</v>
      </c>
      <c r="J58" s="3">
        <v>0</v>
      </c>
      <c r="K58" s="3">
        <v>584</v>
      </c>
    </row>
    <row r="59" spans="1:11" ht="17" x14ac:dyDescent="0.2">
      <c r="A59" s="3" t="s">
        <v>75</v>
      </c>
      <c r="B59" s="3">
        <v>716</v>
      </c>
      <c r="C59" s="3">
        <v>221</v>
      </c>
      <c r="D59" s="5">
        <f>C59/B59</f>
        <v>0.30865921787709499</v>
      </c>
      <c r="E59" s="3">
        <v>319</v>
      </c>
      <c r="F59" s="5">
        <f>E59/B59</f>
        <v>0.44553072625698326</v>
      </c>
      <c r="G59" s="3">
        <v>319</v>
      </c>
      <c r="H59" s="3">
        <v>0</v>
      </c>
      <c r="I59" s="3">
        <v>0</v>
      </c>
      <c r="J59" s="3">
        <v>0</v>
      </c>
      <c r="K59" s="3">
        <v>397</v>
      </c>
    </row>
    <row r="60" spans="1:11" ht="17" x14ac:dyDescent="0.2">
      <c r="A60" s="3" t="s">
        <v>19</v>
      </c>
      <c r="B60" s="3">
        <v>683</v>
      </c>
      <c r="C60" s="3">
        <v>158</v>
      </c>
      <c r="D60" s="5">
        <f>C60/B60</f>
        <v>0.23133235724743778</v>
      </c>
      <c r="E60" s="3">
        <v>205</v>
      </c>
      <c r="F60" s="5">
        <f>E60/B60</f>
        <v>0.3001464128843338</v>
      </c>
      <c r="G60" s="3">
        <v>205</v>
      </c>
      <c r="H60" s="3">
        <v>0</v>
      </c>
      <c r="I60" s="3">
        <v>0</v>
      </c>
      <c r="J60" s="3">
        <v>0</v>
      </c>
      <c r="K60" s="3">
        <v>478</v>
      </c>
    </row>
    <row r="61" spans="1:11" ht="17" x14ac:dyDescent="0.2">
      <c r="A61" s="3" t="s">
        <v>62</v>
      </c>
      <c r="B61" s="3">
        <v>520</v>
      </c>
      <c r="C61" s="3">
        <v>117</v>
      </c>
      <c r="D61" s="5">
        <f>C61/B61</f>
        <v>0.22500000000000001</v>
      </c>
      <c r="E61" s="3">
        <v>197</v>
      </c>
      <c r="F61" s="5">
        <f>E61/B61</f>
        <v>0.37884615384615383</v>
      </c>
      <c r="G61" s="3">
        <v>197</v>
      </c>
      <c r="H61" s="3">
        <v>0</v>
      </c>
      <c r="I61" s="3">
        <v>0</v>
      </c>
      <c r="J61" s="3">
        <v>0</v>
      </c>
      <c r="K61" s="3">
        <v>323</v>
      </c>
    </row>
    <row r="62" spans="1:11" ht="17" x14ac:dyDescent="0.2">
      <c r="A62" s="3" t="s">
        <v>48</v>
      </c>
      <c r="B62" s="3">
        <v>511</v>
      </c>
      <c r="C62" s="3">
        <v>84</v>
      </c>
      <c r="D62" s="5">
        <f>C62/B62</f>
        <v>0.16438356164383561</v>
      </c>
      <c r="E62" s="3">
        <v>4</v>
      </c>
      <c r="F62" s="5">
        <f>E62/B62</f>
        <v>7.8277886497064575E-3</v>
      </c>
      <c r="G62" s="3">
        <v>4</v>
      </c>
      <c r="H62" s="3">
        <v>0</v>
      </c>
      <c r="I62" s="3">
        <v>0</v>
      </c>
      <c r="J62" s="3">
        <v>0</v>
      </c>
      <c r="K62" s="3">
        <v>507</v>
      </c>
    </row>
    <row r="63" spans="1:11" ht="17" x14ac:dyDescent="0.2">
      <c r="A63" s="3" t="s">
        <v>15</v>
      </c>
      <c r="B63" s="3">
        <v>492</v>
      </c>
      <c r="C63" s="3">
        <v>105</v>
      </c>
      <c r="D63" s="5">
        <f>C63/B63</f>
        <v>0.21341463414634146</v>
      </c>
      <c r="E63" s="3">
        <v>104</v>
      </c>
      <c r="F63" s="5">
        <f>E63/B63</f>
        <v>0.21138211382113822</v>
      </c>
      <c r="G63" s="3">
        <v>4</v>
      </c>
      <c r="H63" s="3">
        <v>434</v>
      </c>
      <c r="I63" s="3">
        <v>334</v>
      </c>
      <c r="J63" s="3">
        <v>100</v>
      </c>
      <c r="K63" s="3">
        <v>54</v>
      </c>
    </row>
    <row r="64" spans="1:11" ht="17" x14ac:dyDescent="0.2">
      <c r="A64" s="3" t="s">
        <v>12</v>
      </c>
      <c r="B64" s="3">
        <v>405</v>
      </c>
      <c r="C64" s="3">
        <v>90</v>
      </c>
      <c r="D64" s="5">
        <f>C64/B64</f>
        <v>0.22222222222222221</v>
      </c>
      <c r="E64" s="3">
        <v>271</v>
      </c>
      <c r="F64" s="5">
        <f>E64/B64</f>
        <v>0.66913580246913584</v>
      </c>
      <c r="G64" s="3">
        <v>7</v>
      </c>
      <c r="H64" s="3">
        <v>393</v>
      </c>
      <c r="I64" s="3">
        <v>129</v>
      </c>
      <c r="J64" s="3">
        <v>264</v>
      </c>
      <c r="K64" s="3">
        <v>5</v>
      </c>
    </row>
    <row r="65" spans="1:11" ht="17" x14ac:dyDescent="0.2">
      <c r="A65" s="3" t="s">
        <v>13</v>
      </c>
      <c r="B65" s="3">
        <v>366</v>
      </c>
      <c r="C65" s="3">
        <v>95</v>
      </c>
      <c r="D65" s="5">
        <f>C65/B65</f>
        <v>0.25956284153005466</v>
      </c>
      <c r="E65" s="3">
        <v>169</v>
      </c>
      <c r="F65" s="5">
        <f>E65/B65</f>
        <v>0.46174863387978143</v>
      </c>
      <c r="G65" s="3">
        <v>169</v>
      </c>
      <c r="H65" s="3">
        <v>0</v>
      </c>
      <c r="I65" s="3">
        <v>0</v>
      </c>
      <c r="J65" s="3">
        <v>0</v>
      </c>
      <c r="K65" s="3">
        <v>197</v>
      </c>
    </row>
    <row r="66" spans="1:11" ht="34" x14ac:dyDescent="0.2">
      <c r="A66" s="3" t="s">
        <v>0</v>
      </c>
      <c r="B66" s="3">
        <v>317</v>
      </c>
      <c r="C66" s="3">
        <v>55</v>
      </c>
      <c r="D66" s="5">
        <f>C66/B66</f>
        <v>0.17350157728706625</v>
      </c>
      <c r="E66" s="3">
        <v>0</v>
      </c>
      <c r="F66" s="5">
        <f>E66/B66</f>
        <v>0</v>
      </c>
      <c r="G66" s="3">
        <v>0</v>
      </c>
      <c r="H66" s="3">
        <v>0</v>
      </c>
      <c r="I66" s="3">
        <v>0</v>
      </c>
      <c r="J66" s="3">
        <v>0</v>
      </c>
      <c r="K66" s="3">
        <v>317</v>
      </c>
    </row>
    <row r="67" spans="1:11" ht="17" x14ac:dyDescent="0.2">
      <c r="A67" s="3" t="s">
        <v>18</v>
      </c>
      <c r="B67" s="3">
        <v>274</v>
      </c>
      <c r="C67" s="3">
        <v>66</v>
      </c>
      <c r="D67" s="5">
        <f>C67/B67</f>
        <v>0.24087591240875914</v>
      </c>
      <c r="E67" s="3">
        <v>4</v>
      </c>
      <c r="F67" s="5">
        <f>E67/B67</f>
        <v>1.4598540145985401E-2</v>
      </c>
      <c r="G67" s="3">
        <v>0</v>
      </c>
      <c r="H67" s="3">
        <v>202</v>
      </c>
      <c r="I67" s="3">
        <v>198</v>
      </c>
      <c r="J67" s="3">
        <v>4</v>
      </c>
      <c r="K67" s="3">
        <v>72</v>
      </c>
    </row>
    <row r="68" spans="1:11" ht="17" x14ac:dyDescent="0.2">
      <c r="A68" s="3" t="s">
        <v>9</v>
      </c>
      <c r="B68" s="3">
        <v>231</v>
      </c>
      <c r="C68" s="3">
        <v>51</v>
      </c>
      <c r="D68" s="5">
        <f>C68/B68</f>
        <v>0.22077922077922077</v>
      </c>
      <c r="E68" s="3">
        <v>98</v>
      </c>
      <c r="F68" s="5">
        <f>E68/B68</f>
        <v>0.42424242424242425</v>
      </c>
      <c r="G68" s="3">
        <v>13</v>
      </c>
      <c r="H68" s="3">
        <v>210</v>
      </c>
      <c r="I68" s="3">
        <v>125</v>
      </c>
      <c r="J68" s="3">
        <v>85</v>
      </c>
      <c r="K68" s="3">
        <v>8</v>
      </c>
    </row>
    <row r="69" spans="1:11" ht="17" x14ac:dyDescent="0.2">
      <c r="A69" s="3" t="s">
        <v>25</v>
      </c>
      <c r="B69" s="3">
        <v>184</v>
      </c>
      <c r="C69" s="3">
        <v>43</v>
      </c>
      <c r="D69" s="5">
        <f>C69/B69</f>
        <v>0.23369565217391305</v>
      </c>
      <c r="E69" s="3">
        <v>0</v>
      </c>
      <c r="F69" s="5">
        <f>E69/B69</f>
        <v>0</v>
      </c>
      <c r="G69" s="3">
        <v>0</v>
      </c>
      <c r="H69" s="3">
        <v>0</v>
      </c>
      <c r="I69" s="3">
        <v>0</v>
      </c>
      <c r="J69" s="3">
        <v>0</v>
      </c>
      <c r="K69" s="3">
        <v>184</v>
      </c>
    </row>
    <row r="70" spans="1:11" ht="51" x14ac:dyDescent="0.2">
      <c r="A70" s="3" t="s">
        <v>61</v>
      </c>
      <c r="B70" s="3">
        <v>172</v>
      </c>
      <c r="C70" s="3">
        <v>38</v>
      </c>
      <c r="D70" s="5">
        <f>C70/B70</f>
        <v>0.22093023255813954</v>
      </c>
      <c r="E70" s="3">
        <v>0</v>
      </c>
      <c r="F70" s="5">
        <f>E70/B70</f>
        <v>0</v>
      </c>
      <c r="G70" s="3">
        <v>0</v>
      </c>
      <c r="H70" s="3">
        <v>0</v>
      </c>
      <c r="I70" s="3">
        <v>0</v>
      </c>
      <c r="J70" s="3">
        <v>0</v>
      </c>
      <c r="K70" s="3">
        <v>172</v>
      </c>
    </row>
    <row r="71" spans="1:11" ht="34" x14ac:dyDescent="0.2">
      <c r="A71" s="3" t="s">
        <v>59</v>
      </c>
      <c r="B71" s="3">
        <v>126</v>
      </c>
      <c r="C71" s="3">
        <v>26</v>
      </c>
      <c r="D71" s="5">
        <f>C71/B71</f>
        <v>0.20634920634920634</v>
      </c>
      <c r="E71" s="3">
        <v>0</v>
      </c>
      <c r="F71" s="5">
        <f>E71/B71</f>
        <v>0</v>
      </c>
      <c r="G71" s="3">
        <v>0</v>
      </c>
      <c r="H71" s="3">
        <v>0</v>
      </c>
      <c r="I71" s="3">
        <v>0</v>
      </c>
      <c r="J71" s="3">
        <v>0</v>
      </c>
      <c r="K71" s="3">
        <v>126</v>
      </c>
    </row>
    <row r="72" spans="1:11" ht="17" x14ac:dyDescent="0.2">
      <c r="A72" s="3" t="s">
        <v>60</v>
      </c>
      <c r="B72" s="3">
        <v>111</v>
      </c>
      <c r="C72" s="3">
        <v>23</v>
      </c>
      <c r="D72" s="5">
        <f>C72/B72</f>
        <v>0.2072072072072072</v>
      </c>
      <c r="E72" s="3">
        <v>0</v>
      </c>
      <c r="F72" s="5">
        <f>E72/B72</f>
        <v>0</v>
      </c>
      <c r="G72" s="3">
        <v>0</v>
      </c>
      <c r="H72" s="3">
        <v>0</v>
      </c>
      <c r="I72" s="3">
        <v>0</v>
      </c>
      <c r="J72" s="3">
        <v>0</v>
      </c>
      <c r="K72" s="3">
        <v>111</v>
      </c>
    </row>
    <row r="73" spans="1:11" ht="17" x14ac:dyDescent="0.2">
      <c r="A73" s="3" t="s">
        <v>67</v>
      </c>
      <c r="B73" s="3">
        <v>93</v>
      </c>
      <c r="C73" s="3">
        <v>16</v>
      </c>
      <c r="D73" s="5">
        <f>C73/B73</f>
        <v>0.17204301075268819</v>
      </c>
      <c r="E73" s="3">
        <v>5</v>
      </c>
      <c r="F73" s="5">
        <f>E73/B73</f>
        <v>5.3763440860215055E-2</v>
      </c>
      <c r="G73" s="3">
        <v>5</v>
      </c>
      <c r="H73" s="3">
        <v>0</v>
      </c>
      <c r="I73" s="3">
        <v>0</v>
      </c>
      <c r="J73" s="3">
        <v>0</v>
      </c>
      <c r="K73" s="3">
        <v>88</v>
      </c>
    </row>
    <row r="74" spans="1:11" ht="17" x14ac:dyDescent="0.2">
      <c r="A74" s="3" t="s">
        <v>5</v>
      </c>
      <c r="B74" s="3">
        <v>93</v>
      </c>
      <c r="C74" s="3">
        <v>20</v>
      </c>
      <c r="D74" s="5">
        <f>C74/B74</f>
        <v>0.21505376344086022</v>
      </c>
      <c r="E74" s="3">
        <v>0</v>
      </c>
      <c r="F74" s="5">
        <f>E74/B74</f>
        <v>0</v>
      </c>
      <c r="G74" s="3">
        <v>0</v>
      </c>
      <c r="H74" s="3">
        <v>0</v>
      </c>
      <c r="I74" s="3">
        <v>0</v>
      </c>
      <c r="J74" s="3">
        <v>0</v>
      </c>
      <c r="K74" s="3">
        <v>93</v>
      </c>
    </row>
    <row r="75" spans="1:11" ht="17" x14ac:dyDescent="0.2">
      <c r="A75" s="3" t="s">
        <v>37</v>
      </c>
      <c r="B75" s="3">
        <v>91</v>
      </c>
      <c r="C75" s="3">
        <v>20</v>
      </c>
      <c r="D75" s="5">
        <f>C75/B75</f>
        <v>0.21978021978021978</v>
      </c>
      <c r="E75" s="3">
        <v>32</v>
      </c>
      <c r="F75" s="5">
        <f>E75/B75</f>
        <v>0.35164835164835168</v>
      </c>
      <c r="G75" s="3">
        <v>32</v>
      </c>
      <c r="H75" s="3">
        <v>0</v>
      </c>
      <c r="I75" s="3">
        <v>0</v>
      </c>
      <c r="J75" s="3">
        <v>0</v>
      </c>
      <c r="K75" s="3">
        <v>59</v>
      </c>
    </row>
    <row r="76" spans="1:11" ht="17" x14ac:dyDescent="0.2">
      <c r="A76" s="3" t="s">
        <v>8</v>
      </c>
      <c r="B76" s="3">
        <v>90</v>
      </c>
      <c r="C76" s="3">
        <v>20</v>
      </c>
      <c r="D76" s="5">
        <f>C76/B76</f>
        <v>0.22222222222222221</v>
      </c>
      <c r="E76" s="3">
        <v>14</v>
      </c>
      <c r="F76" s="5">
        <f>E76/B76</f>
        <v>0.15555555555555556</v>
      </c>
      <c r="G76" s="3">
        <v>14</v>
      </c>
      <c r="H76" s="3">
        <v>0</v>
      </c>
      <c r="I76" s="3">
        <v>0</v>
      </c>
      <c r="J76" s="3">
        <v>0</v>
      </c>
      <c r="K76" s="3">
        <v>76</v>
      </c>
    </row>
    <row r="77" spans="1:11" ht="34" x14ac:dyDescent="0.2">
      <c r="A77" s="3" t="s">
        <v>74</v>
      </c>
      <c r="B77" s="3">
        <v>89</v>
      </c>
      <c r="C77" s="3">
        <v>22</v>
      </c>
      <c r="D77" s="5">
        <f>C77/B77</f>
        <v>0.24719101123595505</v>
      </c>
      <c r="E77" s="3">
        <v>0</v>
      </c>
      <c r="F77" s="5">
        <f>E77/B77</f>
        <v>0</v>
      </c>
      <c r="G77" s="3">
        <v>0</v>
      </c>
      <c r="H77" s="3">
        <v>0</v>
      </c>
      <c r="I77" s="3">
        <v>0</v>
      </c>
      <c r="J77" s="3">
        <v>0</v>
      </c>
      <c r="K77" s="3">
        <v>89</v>
      </c>
    </row>
    <row r="78" spans="1:11" ht="17" x14ac:dyDescent="0.2">
      <c r="A78" s="3" t="s">
        <v>16</v>
      </c>
      <c r="B78" s="3">
        <v>60</v>
      </c>
      <c r="C78" s="3">
        <v>13</v>
      </c>
      <c r="D78" s="5">
        <f>C78/B78</f>
        <v>0.21666666666666667</v>
      </c>
      <c r="E78" s="3">
        <v>0</v>
      </c>
      <c r="F78" s="5">
        <f>E78/B78</f>
        <v>0</v>
      </c>
      <c r="G78" s="3">
        <v>0</v>
      </c>
      <c r="H78" s="3">
        <v>0</v>
      </c>
      <c r="I78" s="3">
        <v>0</v>
      </c>
      <c r="J78" s="3">
        <v>0</v>
      </c>
      <c r="K78" s="3">
        <v>60</v>
      </c>
    </row>
    <row r="79" spans="1:11" ht="17" x14ac:dyDescent="0.2">
      <c r="A79" s="3" t="s">
        <v>65</v>
      </c>
      <c r="B79" s="3">
        <v>36</v>
      </c>
      <c r="C79" s="3">
        <v>10</v>
      </c>
      <c r="D79" s="5">
        <f>C79/B79</f>
        <v>0.27777777777777779</v>
      </c>
      <c r="E79" s="3">
        <v>0</v>
      </c>
      <c r="F79" s="5">
        <f>E79/B79</f>
        <v>0</v>
      </c>
      <c r="G79" s="3">
        <v>0</v>
      </c>
      <c r="H79" s="3">
        <v>36</v>
      </c>
      <c r="I79" s="3">
        <v>36</v>
      </c>
      <c r="J79" s="3">
        <v>0</v>
      </c>
      <c r="K79" s="3">
        <v>0</v>
      </c>
    </row>
    <row r="80" spans="1:11" ht="17" x14ac:dyDescent="0.2">
      <c r="A80" s="3" t="s">
        <v>4</v>
      </c>
      <c r="B80" s="3">
        <v>19</v>
      </c>
      <c r="C80" s="3">
        <v>4</v>
      </c>
      <c r="D80" s="5">
        <f>C80/B80</f>
        <v>0.21052631578947367</v>
      </c>
      <c r="E80" s="3">
        <v>2</v>
      </c>
      <c r="F80" s="5">
        <f>E80/B80</f>
        <v>0.10526315789473684</v>
      </c>
      <c r="G80" s="3">
        <v>0</v>
      </c>
      <c r="H80" s="3">
        <v>19</v>
      </c>
      <c r="I80" s="3">
        <v>17</v>
      </c>
      <c r="J80" s="3">
        <v>2</v>
      </c>
      <c r="K80" s="3">
        <v>0</v>
      </c>
    </row>
    <row r="81" spans="1:11" ht="17" x14ac:dyDescent="0.2">
      <c r="A81" s="3" t="s">
        <v>47</v>
      </c>
      <c r="B81" s="3">
        <v>11</v>
      </c>
      <c r="C81" s="3">
        <v>3</v>
      </c>
      <c r="D81" s="5">
        <f>C81/B81</f>
        <v>0.27272727272727271</v>
      </c>
      <c r="E81" s="3">
        <v>0</v>
      </c>
      <c r="F81" s="5">
        <f>E81/B81</f>
        <v>0</v>
      </c>
      <c r="G81" s="3">
        <v>0</v>
      </c>
      <c r="H81" s="3">
        <v>0</v>
      </c>
      <c r="I81" s="3">
        <v>0</v>
      </c>
      <c r="J81" s="3">
        <v>0</v>
      </c>
      <c r="K81" s="3">
        <v>11</v>
      </c>
    </row>
    <row r="82" spans="1:11" ht="17" x14ac:dyDescent="0.2">
      <c r="A82" s="3" t="s">
        <v>52</v>
      </c>
      <c r="B82" s="3">
        <v>10</v>
      </c>
      <c r="C82" s="3">
        <v>1</v>
      </c>
      <c r="D82" s="5">
        <f>C82/B82</f>
        <v>0.1</v>
      </c>
      <c r="E82" s="3">
        <v>2</v>
      </c>
      <c r="F82" s="5">
        <f>E82/B82</f>
        <v>0.2</v>
      </c>
      <c r="G82" s="3">
        <v>2</v>
      </c>
      <c r="H82" s="3">
        <v>0</v>
      </c>
      <c r="I82" s="3">
        <v>0</v>
      </c>
      <c r="J82" s="3">
        <v>0</v>
      </c>
      <c r="K82" s="3">
        <v>8</v>
      </c>
    </row>
    <row r="83" spans="1:11" ht="17" x14ac:dyDescent="0.2">
      <c r="A83" s="3" t="s">
        <v>34</v>
      </c>
      <c r="B83" s="3">
        <v>9</v>
      </c>
      <c r="C83" s="3">
        <v>1</v>
      </c>
      <c r="D83" s="5">
        <f>C83/B83</f>
        <v>0.1111111111111111</v>
      </c>
      <c r="E83" s="3">
        <v>2</v>
      </c>
      <c r="F83" s="5">
        <f>E83/B83</f>
        <v>0.22222222222222221</v>
      </c>
      <c r="G83" s="3">
        <v>2</v>
      </c>
      <c r="H83" s="3">
        <v>0</v>
      </c>
      <c r="I83" s="3">
        <v>0</v>
      </c>
      <c r="J83" s="3">
        <v>0</v>
      </c>
      <c r="K83" s="3">
        <v>7</v>
      </c>
    </row>
    <row r="84" spans="1:11" ht="17" x14ac:dyDescent="0.2">
      <c r="A84" s="3" t="s">
        <v>31</v>
      </c>
      <c r="B84" s="3">
        <v>4</v>
      </c>
      <c r="C84" s="3">
        <v>1</v>
      </c>
      <c r="D84" s="5">
        <f>C84/B84</f>
        <v>0.25</v>
      </c>
      <c r="E84" s="3">
        <v>1</v>
      </c>
      <c r="F84" s="5">
        <f>E84/B84</f>
        <v>0.25</v>
      </c>
      <c r="G84" s="3">
        <v>1</v>
      </c>
      <c r="H84" s="3">
        <v>0</v>
      </c>
      <c r="I84" s="3">
        <v>0</v>
      </c>
      <c r="J84" s="3">
        <v>0</v>
      </c>
      <c r="K84" s="3">
        <v>3</v>
      </c>
    </row>
  </sheetData>
  <autoFilter ref="A1:K84" xr:uid="{4560F0BD-9BE9-344D-9406-24805B33491D}">
    <sortState xmlns:xlrd2="http://schemas.microsoft.com/office/spreadsheetml/2017/richdata2" ref="A2:K84">
      <sortCondition descending="1" ref="B1:B8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country_sum_km2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Darling, Emily</dc:creator>
  <cp:lastModifiedBy>Darling, Emily</cp:lastModifiedBy>
  <dcterms:created xsi:type="dcterms:W3CDTF">2025-10-28T04:14:58Z</dcterms:created>
  <dcterms:modified xsi:type="dcterms:W3CDTF">2025-10-31T16:09:16Z</dcterms:modified>
</cp:coreProperties>
</file>